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f40b9ac506d4319" /></Relationships>
</file>

<file path=xl/workbook.xml><?xml version="1.0" encoding="utf-8"?>
<x:workbook xmlns:x="http://schemas.openxmlformats.org/spreadsheetml/2006/main">
  <x:sheets>
    <x:sheet xmlns:r="http://schemas.openxmlformats.org/officeDocument/2006/relationships" name="Executive Summary" sheetId="1" r:id="R4f6093fe3f594d6f"/>
    <x:sheet xmlns:r="http://schemas.openxmlformats.org/officeDocument/2006/relationships" name="Assumptions" sheetId="2" r:id="R134e26beb31e401b"/>
    <x:sheet xmlns:r="http://schemas.openxmlformats.org/officeDocument/2006/relationships" name="Historical" sheetId="3" r:id="R2a25c40707404aa1"/>
    <x:sheet xmlns:r="http://schemas.openxmlformats.org/officeDocument/2006/relationships" name="Base Case" sheetId="4" r:id="R4e61f8d417d44869"/>
    <x:sheet xmlns:r="http://schemas.openxmlformats.org/officeDocument/2006/relationships" name="Downside" sheetId="5" r:id="Rc9766d1c088a487e"/>
    <x:sheet xmlns:r="http://schemas.openxmlformats.org/officeDocument/2006/relationships" name="Debt Capacity" sheetId="6" r:id="R29326eecb20a476d"/>
    <x:sheet xmlns:r="http://schemas.openxmlformats.org/officeDocument/2006/relationships" name="Sources &amp; Checks" sheetId="7" r:id="R3f44474651b94715"/>
  </x:sheets>
</x:workbook>
</file>

<file path=xl/sharedStrings.xml><?xml version="1.0" encoding="utf-8"?>
<x:sst xmlns:x="http://schemas.openxmlformats.org/spreadsheetml/2006/main"/>
</file>

<file path=xl/styles.xml><?xml version="1.0" encoding="utf-8"?>
<x:styleSheet xmlns:x="http://schemas.openxmlformats.org/spreadsheetml/2006/main">
  <x:numFmts count="11">
    <x:numFmt numFmtId="200" formatCode="£#,##0"/>
    <x:numFmt numFmtId="201" formatCode="0.0%"/>
    <x:numFmt numFmtId="202" formatCode="0.00x"/>
    <x:numFmt numFmtId="203" formatCode="£#,##0;[Red](£#,##0)"/>
    <x:numFmt numFmtId="204" formatCode="0.00%"/>
    <x:numFmt numFmtId="205" formatCode="0%"/>
    <x:numFmt numFmtId="206" formatCode="£#,##0.0"/>
    <x:numFmt numFmtId="207" formatCode="£#,##0&quot;m&quot;"/>
    <x:numFmt numFmtId="208" formatCode="0.00"/>
    <x:numFmt numFmtId="209" formatCode="#,##0.000"/>
    <x:numFmt numFmtId="210" formatCode="#,##0.0"/>
  </x:numFmts>
  <x:fonts count="27">
    <x:font>
      <x:sz val="11"/>
      <x:name val="Carlito"/>
    </x:font>
    <x:font>
      <x:sz val="9"/>
      <x:color rgb="FF000000"/>
      <x:name val="Arial"/>
    </x:font>
    <x:font>
      <x:b/>
      <x:sz val="16"/>
      <x:color rgb="FF17365D"/>
      <x:name val="Arial"/>
    </x:font>
    <x:font>
      <x:i/>
      <x:sz val="9"/>
      <x:color rgb="FF595959"/>
      <x:name val="Carlito"/>
    </x:font>
    <x:font>
      <x:b/>
      <x:sz val="10"/>
      <x:color rgb="FFFFFFFF"/>
      <x:name val="Carlito"/>
    </x:font>
    <x:font>
      <x:b/>
      <x:sz val="11"/>
      <x:name val="Carlito"/>
    </x:font>
    <x:font>
      <x:sz val="11"/>
      <x:color rgb="FF0000FF"/>
      <x:name val="Carlito"/>
    </x:font>
    <x:font>
      <x:i/>
      <x:sz val="8"/>
      <x:color rgb="FF595959"/>
      <x:name val="Carlito"/>
    </x:font>
    <x:font>
      <x:sz val="11"/>
      <x:color rgb="FF008000"/>
      <x:name val="Carlito"/>
    </x:font>
    <x:font>
      <x:sz val="11"/>
      <x:color rgb="FF000000"/>
      <x:name val="Carlito"/>
    </x:font>
    <x:font>
      <x:b/>
      <x:sz val="10"/>
      <x:color rgb="FF000000"/>
      <x:name val="Carlito"/>
    </x:font>
    <x:font>
      <x:b/>
      <x:sz val="11"/>
      <x:color rgb="FF000000"/>
      <x:name val="Carlito"/>
    </x:font>
    <x:font>
      <x:b/>
      <x:sz val="11"/>
      <x:color rgb="FF1E7145"/>
      <x:name val="Carlito"/>
    </x:font>
    <x:font>
      <x:sz val="11"/>
      <x:color rgb="FF0563C1"/>
      <x:name val="Carlito"/>
    </x:font>
    <x:font>
      <x:b/>
      <x:sz val="14"/>
      <x:color rgb="FF1E7145"/>
      <x:name val="Carlito"/>
    </x:font>
    <x:font>
      <x:b/>
      <x:sz val="10"/>
      <x:name val="Carlito"/>
    </x:font>
    <x:font>
      <x:b/>
      <x:sz val="8"/>
      <x:color rgb="FF595959"/>
      <x:name val="Carlito"/>
    </x:font>
    <x:font>
      <x:b/>
      <x:sz val="14"/>
      <x:name val="Carlito"/>
    </x:font>
    <x:font>
      <x:sz val="9"/>
      <x:name val="Carlito"/>
    </x:font>
    <x:font>
      <x:b/>
      <x:sz val="10"/>
      <x:color rgb="FF000000"/>
      <x:name val="Arial"/>
    </x:font>
    <x:font>
      <x:sz val="10"/>
      <x:color rgb="FF0000FF"/>
      <x:name val="Arial"/>
    </x:font>
    <x:font>
      <x:sz val="10"/>
      <x:color rgb="FF008000"/>
      <x:name val="Arial"/>
    </x:font>
    <x:font>
      <x:sz val="10"/>
      <x:color rgb="FF000000"/>
      <x:name val="Arial"/>
    </x:font>
    <x:font>
      <x:b/>
      <x:sz val="10"/>
      <x:color rgb="FFC00000"/>
      <x:name val="Arial"/>
    </x:font>
    <x:font>
      <x:i/>
      <x:sz val="10"/>
      <x:color rgb="FF595959"/>
      <x:name val="Arial"/>
    </x:font>
    <x:font>
      <x:b/>
      <x:sz val="14"/>
      <x:color rgb="FF000000"/>
      <x:name val="Carlito"/>
    </x:font>
    <x:font>
      <x:sz val="9"/>
      <x:color rgb="FF000000"/>
      <x:name val="Carlito"/>
    </x:font>
  </x:fonts>
  <x:fills count="14">
    <x:fill>
      <x:patternFill patternType="none"/>
    </x:fill>
    <x:fill>
      <x:patternFill patternType="gray125"/>
    </x:fill>
    <x:fill>
      <x:patternFill patternType="solid">
        <x:fgColor rgb="FFFFFFFF"/>
      </x:patternFill>
    </x:fill>
    <x:fill>
      <x:patternFill patternType="solid">
        <x:fgColor rgb="FF1F4E78"/>
      </x:patternFill>
    </x:fill>
    <x:fill>
      <x:patternFill patternType="solid">
        <x:fgColor rgb="FFFFF2CC"/>
      </x:patternFill>
    </x:fill>
    <x:fill>
      <x:patternFill patternType="solid">
        <x:fgColor rgb="FFE7E6E6"/>
      </x:patternFill>
    </x:fill>
    <x:fill>
      <x:patternFill patternType="solid">
        <x:fgColor rgb="FFF2F2F2"/>
      </x:patternFill>
    </x:fill>
    <x:fill>
      <x:patternFill patternType="solid">
        <x:fgColor rgb="FFD9EAF7"/>
      </x:patternFill>
    </x:fill>
    <x:fill>
      <x:patternFill patternType="solid">
        <x:fgColor rgb="FFE2F0D9"/>
      </x:patternFill>
    </x:fill>
    <x:fill>
      <x:patternFill patternType="solid">
        <x:fgColor rgb="FFFCE4D6"/>
      </x:patternFill>
    </x:fill>
    <x:fill>
      <x:patternFill patternType="solid">
        <x:fgColor rgb="FFFFF2CC"/>
      </x:patternFill>
    </x:fill>
    <x:fill>
      <x:patternFill patternType="solid">
        <x:fgColor rgb="FFE7E6E6"/>
      </x:patternFill>
    </x:fill>
    <x:fill>
      <x:patternFill patternType="solid">
        <x:fgColor rgb="FFE2F0D9"/>
      </x:patternFill>
    </x:fill>
    <x:fill>
      <x:patternFill patternType="solid">
        <x:fgColor rgb="FFFCE4D6"/>
      </x:patternFill>
    </x:fill>
  </x:fills>
  <x:borders count="19">
    <x:border/>
    <x:border>
      <x:right style="thin">
        <x:color rgb="FFE6E6E6"/>
      </x:right>
      <x:bottom style="thin">
        <x:color rgb="FFE6E6E6"/>
      </x:bottom>
    </x:border>
    <x:border>
      <x:left style="thin">
        <x:color rgb="FFE6E6E6"/>
      </x:left>
      <x:right style="thin">
        <x:color rgb="FFE6E6E6"/>
      </x:right>
      <x:bottom style="thin">
        <x:color rgb="FFE6E6E6"/>
      </x:bottom>
    </x:border>
    <x:border>
      <x:left style="thin">
        <x:color rgb="FFE6E6E6"/>
      </x:left>
      <x:bottom style="thin">
        <x:color rgb="FFE6E6E6"/>
      </x:bottom>
    </x:border>
    <x:border>
      <x:right style="thin">
        <x:color rgb="FFE6E6E6"/>
      </x:right>
      <x:top style="thin">
        <x:color rgb="FFE6E6E6"/>
      </x:top>
      <x:bottom style="thin">
        <x:color rgb="FFE6E6E6"/>
      </x:bottom>
    </x:border>
    <x:border>
      <x:left style="thin">
        <x:color rgb="FFE6E6E6"/>
      </x:left>
      <x:right style="thin">
        <x:color rgb="FFE6E6E6"/>
      </x:right>
      <x:top style="thin">
        <x:color rgb="FFE6E6E6"/>
      </x:top>
      <x:bottom style="thin">
        <x:color rgb="FFE6E6E6"/>
      </x:bottom>
    </x:border>
    <x:border>
      <x:left style="thin">
        <x:color rgb="FFE6E6E6"/>
      </x:left>
      <x:top style="thin">
        <x:color rgb="FFE6E6E6"/>
      </x:top>
      <x:bottom style="thin">
        <x:color rgb="FFE6E6E6"/>
      </x:bottom>
    </x:border>
    <x:border>
      <x:right style="thin">
        <x:color rgb="FFE6E6E6"/>
      </x:right>
      <x:top style="thin">
        <x:color rgb="FFE6E6E6"/>
      </x:top>
    </x:border>
    <x:border>
      <x:left style="thin">
        <x:color rgb="FFE6E6E6"/>
      </x:left>
      <x:right style="thin">
        <x:color rgb="FFE6E6E6"/>
      </x:right>
      <x:top style="thin">
        <x:color rgb="FFE6E6E6"/>
      </x:top>
    </x:border>
    <x:border>
      <x:left style="thin">
        <x:color rgb="FFE6E6E6"/>
      </x:left>
      <x:top style="thin">
        <x:color rgb="FFE6E6E6"/>
      </x:top>
    </x:border>
    <x:border>
      <x:right style="thin">
        <x:color rgb="FFD9D9D9"/>
      </x:right>
      <x:bottom style="thin">
        <x:color rgb="FFD9D9D9"/>
      </x:bottom>
    </x:border>
    <x:border>
      <x:left style="thin">
        <x:color rgb="FFD9D9D9"/>
      </x:left>
      <x:right style="thin">
        <x:color rgb="FFD9D9D9"/>
      </x:right>
      <x:bottom style="thin">
        <x:color rgb="FFD9D9D9"/>
      </x:bottom>
    </x:border>
    <x:border>
      <x:left style="thin">
        <x:color rgb="FFD9D9D9"/>
      </x:left>
      <x:bottom style="thin">
        <x:color rgb="FFD9D9D9"/>
      </x:bottom>
    </x:border>
    <x:border>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
      <x:left style="thin">
        <x:color rgb="FFD9D9D9"/>
      </x:left>
      <x:top style="thin">
        <x:color rgb="FFD9D9D9"/>
      </x:top>
      <x:bottom style="thin">
        <x:color rgb="FFD9D9D9"/>
      </x:bottom>
    </x:border>
    <x:border>
      <x:right style="thin">
        <x:color rgb="FFD9D9D9"/>
      </x:right>
      <x:top style="thin">
        <x:color rgb="FFD9D9D9"/>
      </x:top>
    </x:border>
    <x:border>
      <x:left style="thin">
        <x:color rgb="FFD9D9D9"/>
      </x:left>
      <x:right style="thin">
        <x:color rgb="FFD9D9D9"/>
      </x:right>
      <x:top style="thin">
        <x:color rgb="FFD9D9D9"/>
      </x:top>
    </x:border>
    <x:border>
      <x:left style="thin">
        <x:color rgb="FFD9D9D9"/>
      </x:left>
      <x:top style="thin">
        <x:color rgb="FFD9D9D9"/>
      </x:top>
    </x:border>
  </x:borders>
  <x:cellStyleXfs count="1">
    <x:xf numFmtId="0" fontId="0" fillId="0" borderId="0"/>
  </x:cellStyleXfs>
  <x:cellXfs count="294">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vertical="center"/>
    </x:xf>
    <x:xf numFmtId="0" fontId="5" fillId="0" borderId="0" xfId="0" applyNumberFormat="1" applyFont="1" applyFill="1" applyBorder="1"/>
    <x:xf numFmtId="0" fontId="6" fillId="0" borderId="0" xfId="0" applyNumberFormat="1" applyFont="1" applyFill="1" applyBorder="1"/>
    <x:xf numFmtId="0" fontId="6" fillId="4" borderId="0" xfId="0" applyNumberFormat="1" applyFont="1" applyFill="1" applyBorder="1"/>
    <x:xf numFmtId="200" fontId="6" fillId="4" borderId="0" xfId="0" applyNumberFormat="1" applyFont="1" applyFill="1" applyBorder="1"/>
    <x:xf numFmtId="201" fontId="6" fillId="4" borderId="0" xfId="0" applyNumberFormat="1" applyFont="1" applyFill="1" applyBorder="1"/>
    <x:xf numFmtId="202" fontId="6" fillId="4"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203" fontId="0" fillId="0" borderId="0" xfId="0" applyNumberFormat="1" applyFont="1" applyFill="1" applyBorder="1"/>
    <x:xf numFmtId="202" fontId="0" fillId="0" borderId="0" xfId="0" applyNumberFormat="1" applyFont="1" applyFill="1" applyBorder="1"/>
    <x:xf numFmtId="200" fontId="8" fillId="0" borderId="0" xfId="0" applyNumberFormat="1" applyFont="1" applyFill="1" applyBorder="1"/>
    <x:xf numFmtId="201" fontId="8" fillId="0" borderId="0" xfId="0" applyNumberFormat="1" applyFont="1" applyFill="1" applyBorder="1"/>
    <x:xf numFmtId="203" fontId="8" fillId="0" borderId="0" xfId="0" applyNumberFormat="1" applyFont="1" applyFill="1" applyBorder="1"/>
    <x:xf numFmtId="202" fontId="8" fillId="0" borderId="0" xfId="0" applyNumberFormat="1" applyFont="1" applyFill="1" applyBorder="1"/>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200" fontId="9" fillId="0" borderId="0" xfId="0" applyNumberFormat="1" applyFont="1" applyFill="1" applyBorder="1"/>
    <x:xf numFmtId="201" fontId="9" fillId="0" borderId="0" xfId="0" applyNumberFormat="1" applyFont="1" applyFill="1" applyBorder="1"/>
    <x:xf numFmtId="203" fontId="9" fillId="0" borderId="0" xfId="0" applyNumberFormat="1" applyFont="1" applyFill="1" applyBorder="1"/>
    <x:xf numFmtId="0" fontId="9" fillId="0" borderId="0" xfId="0" applyNumberFormat="1" applyFont="1" applyFill="1" applyBorder="1"/>
    <x:xf numFmtId="0" fontId="10" fillId="3" borderId="0" xfId="0" applyNumberFormat="1" applyFont="1" applyFill="1" applyBorder="1" applyAlignment="1">
      <x:alignment vertical="center"/>
    </x:xf>
    <x:xf numFmtId="202" fontId="9" fillId="0" borderId="0" xfId="0" applyNumberFormat="1" applyFont="1" applyFill="1" applyBorder="1"/>
    <x:xf numFmtId="0" fontId="5" fillId="7" borderId="0" xfId="0" applyNumberFormat="1" applyFont="1" applyFill="1" applyBorder="1"/>
    <x:xf numFmtId="203" fontId="0" fillId="7" borderId="0" xfId="0" applyNumberFormat="1" applyFont="1" applyFill="1" applyBorder="1"/>
    <x:xf numFmtId="203" fontId="9" fillId="7" borderId="0" xfId="0" applyNumberFormat="1" applyFont="1" applyFill="1" applyBorder="1"/>
    <x:xf numFmtId="201" fontId="0" fillId="7" borderId="0" xfId="0" applyNumberFormat="1" applyFont="1" applyFill="1" applyBorder="1"/>
    <x:xf numFmtId="201" fontId="9" fillId="7" borderId="0" xfId="0" applyNumberFormat="1" applyFont="1" applyFill="1" applyBorder="1"/>
    <x:xf numFmtId="203" fontId="5" fillId="7" borderId="0" xfId="0" applyNumberFormat="1" applyFont="1" applyFill="1" applyBorder="1"/>
    <x:xf numFmtId="203" fontId="11" fillId="7" borderId="0" xfId="0" applyNumberFormat="1" applyFont="1" applyFill="1" applyBorder="1"/>
    <x:xf numFmtId="201" fontId="5" fillId="7" borderId="0" xfId="0" applyNumberFormat="1" applyFont="1" applyFill="1" applyBorder="1"/>
    <x:xf numFmtId="201" fontId="11" fillId="7" borderId="0" xfId="0" applyNumberFormat="1" applyFont="1" applyFill="1" applyBorder="1"/>
    <x:xf numFmtId="0" fontId="5" fillId="8" borderId="0" xfId="0" applyNumberFormat="1" applyFont="1" applyFill="1" applyBorder="1"/>
    <x:xf numFmtId="0" fontId="0" fillId="8" borderId="0" xfId="0" applyNumberFormat="1" applyFont="1" applyFill="1" applyBorder="1"/>
    <x:xf numFmtId="203" fontId="9" fillId="8" borderId="0" xfId="0" applyNumberFormat="1" applyFont="1" applyFill="1" applyBorder="1"/>
    <x:xf numFmtId="202" fontId="9" fillId="8" borderId="0" xfId="0" applyNumberFormat="1" applyFont="1" applyFill="1" applyBorder="1"/>
    <x:xf numFmtId="200" fontId="9" fillId="8" borderId="0" xfId="0" applyNumberFormat="1" applyFont="1" applyFill="1" applyBorder="1"/>
    <x:xf numFmtId="203" fontId="11" fillId="8" borderId="0" xfId="0" applyNumberFormat="1" applyFont="1" applyFill="1" applyBorder="1"/>
    <x:xf numFmtId="202" fontId="11" fillId="8" borderId="0" xfId="0" applyNumberFormat="1" applyFont="1" applyFill="1" applyBorder="1"/>
    <x:xf numFmtId="200" fontId="11" fillId="8" borderId="0" xfId="0" applyNumberFormat="1" applyFont="1" applyFill="1" applyBorder="1"/>
    <x:xf numFmtId="0" fontId="5" fillId="9" borderId="0" xfId="0" applyNumberFormat="1" applyFont="1" applyFill="1" applyBorder="1"/>
    <x:xf numFmtId="0" fontId="0" fillId="9" borderId="0" xfId="0" applyNumberFormat="1" applyFont="1" applyFill="1" applyBorder="1"/>
    <x:xf numFmtId="203" fontId="9" fillId="9" borderId="0" xfId="0" applyNumberFormat="1" applyFont="1" applyFill="1" applyBorder="1"/>
    <x:xf numFmtId="202" fontId="9" fillId="9" borderId="0" xfId="0" applyNumberFormat="1" applyFont="1" applyFill="1" applyBorder="1"/>
    <x:xf numFmtId="200" fontId="9" fillId="9" borderId="0" xfId="0" applyNumberFormat="1" applyFont="1" applyFill="1" applyBorder="1"/>
    <x:xf numFmtId="203" fontId="11" fillId="9" borderId="0" xfId="0" applyNumberFormat="1" applyFont="1" applyFill="1" applyBorder="1"/>
    <x:xf numFmtId="202" fontId="11" fillId="9" borderId="0" xfId="0" applyNumberFormat="1" applyFont="1" applyFill="1" applyBorder="1"/>
    <x:xf numFmtId="200" fontId="11" fillId="9"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200" fontId="5" fillId="7" borderId="0" xfId="0" applyNumberFormat="1" applyFont="1" applyFill="1" applyBorder="1"/>
    <x:xf numFmtId="204" fontId="0" fillId="0" borderId="0" xfId="0" applyNumberFormat="1" applyFont="1" applyFill="1" applyBorder="1"/>
    <x:xf numFmtId="0" fontId="12" fillId="8" borderId="0" xfId="0" applyNumberFormat="1" applyFont="1" applyFill="1" applyBorder="1"/>
    <x:xf numFmtId="0" fontId="12" fillId="8" borderId="0" xfId="0" applyNumberFormat="1" applyFont="1" applyFill="1" applyBorder="1" applyAlignment="1">
      <x:alignment wrapText="1"/>
    </x:xf>
    <x:xf numFmtId="0" fontId="0" fillId="0" borderId="0" xfId="0" applyNumberFormat="1" applyFont="1" applyFill="1" applyBorder="1" applyAlignment="1">
      <x:alignment wrapText="1"/>
    </x:xf>
    <x:xf numFmtId="205" fontId="0" fillId="0" borderId="0" xfId="0" applyNumberFormat="1" applyFont="1" applyFill="1" applyBorder="1"/>
    <x:xf numFmtId="0" fontId="13" fillId="0" borderId="0" xfId="0" applyNumberFormat="1" applyFont="1" applyFill="1" applyBorder="1"/>
    <x:xf numFmtId="206" fontId="0" fillId="0" borderId="0" xfId="0" applyNumberFormat="1" applyFont="1" applyFill="1" applyBorder="1"/>
    <x:xf numFmtId="0" fontId="13" fillId="0" borderId="0" xfId="0" applyNumberFormat="1" applyFont="1" applyFill="1" applyBorder="1" applyAlignment="1">
      <x:alignment wrapText="1"/>
    </x:xf>
    <x:xf numFmtId="0" fontId="14" fillId="2" borderId="0" xfId="0" applyNumberFormat="1" applyFont="1" applyFill="1" applyBorder="1"/>
    <x:xf numFmtId="0" fontId="14" fillId="2" borderId="0" xfId="0" applyNumberFormat="1" applyFont="1" applyFill="1" applyBorder="1" applyAlignment="1">
      <x:alignment wrapText="1"/>
    </x:xf>
    <x:xf numFmtId="0" fontId="14" fillId="2" borderId="0" xfId="0" applyNumberFormat="1" applyFont="1" applyFill="1" applyBorder="1" applyAlignment="1">
      <x:alignment horizontal="left" wrapText="1"/>
    </x:xf>
    <x:xf numFmtId="0" fontId="14" fillId="2" borderId="0" xfId="0" applyNumberFormat="1" applyFont="1" applyFill="1" applyBorder="1" applyAlignment="1">
      <x:alignment horizontal="left" vertical="center" wrapText="1"/>
    </x:xf>
    <x:xf numFmtId="0" fontId="15" fillId="2" borderId="0" xfId="0" applyNumberFormat="1" applyFont="1" applyFill="1" applyBorder="1"/>
    <x:xf numFmtId="0" fontId="15" fillId="2" borderId="0" xfId="0" applyNumberFormat="1" applyFont="1" applyFill="1" applyBorder="1" applyAlignment="1">
      <x:alignment wrapText="1"/>
    </x:xf>
    <x:xf numFmtId="0" fontId="15" fillId="2" borderId="0" xfId="0" applyNumberFormat="1" applyFont="1" applyFill="1" applyBorder="1" applyAlignment="1">
      <x:alignment horizontal="left" wrapText="1"/>
    </x:xf>
    <x:xf numFmtId="0" fontId="15" fillId="2" borderId="0" xfId="0" applyNumberFormat="1" applyFont="1" applyFill="1" applyBorder="1" applyAlignment="1">
      <x:alignment horizontal="left" vertical="center" wrapText="1"/>
    </x:xf>
    <x:xf numFmtId="0" fontId="16" fillId="5" borderId="0" xfId="0" applyNumberFormat="1" applyFont="1" applyFill="1" applyBorder="1"/>
    <x:xf numFmtId="0" fontId="16" fillId="5" borderId="0" xfId="0" applyNumberFormat="1" applyFont="1" applyFill="1" applyBorder="1" applyAlignment="1">
      <x:alignment horizontal="center"/>
    </x:xf>
    <x:xf numFmtId="0" fontId="16" fillId="5" borderId="0" xfId="0" applyNumberFormat="1" applyFont="1" applyFill="1" applyBorder="1" applyAlignment="1">
      <x:alignment horizontal="center" vertical="center"/>
    </x:xf>
    <x:xf numFmtId="0" fontId="17" fillId="2" borderId="0" xfId="0" applyNumberFormat="1" applyFont="1" applyFill="1" applyBorder="1"/>
    <x:xf numFmtId="0" fontId="17" fillId="2" borderId="0" xfId="0" applyNumberFormat="1" applyFont="1" applyFill="1" applyBorder="1" applyAlignment="1">
      <x:alignment horizontal="center"/>
    </x:xf>
    <x:xf numFmtId="0" fontId="17" fillId="2" borderId="0" xfId="0" applyNumberFormat="1" applyFont="1" applyFill="1" applyBorder="1" applyAlignment="1">
      <x:alignment horizontal="center" vertical="center"/>
    </x:xf>
    <x:xf numFmtId="207" fontId="17" fillId="2" borderId="0" xfId="0" applyNumberFormat="1" applyFont="1" applyFill="1" applyBorder="1" applyAlignment="1">
      <x:alignment horizontal="center" vertical="center"/>
    </x:xf>
    <x:xf numFmtId="202" fontId="17" fillId="2" borderId="0" xfId="0" applyNumberFormat="1" applyFont="1" applyFill="1" applyBorder="1" applyAlignment="1">
      <x:alignment horizontal="center" vertical="center"/>
    </x:xf>
    <x:xf numFmtId="0" fontId="18" fillId="2" borderId="0" xfId="0" applyNumberFormat="1" applyFont="1" applyFill="1" applyBorder="1"/>
    <x:xf numFmtId="0" fontId="18" fillId="2" borderId="0" xfId="0" applyNumberFormat="1" applyFont="1" applyFill="1" applyBorder="1" applyAlignment="1">
      <x:alignment wrapText="1"/>
    </x:xf>
    <x:xf numFmtId="0" fontId="18" fillId="2" borderId="0" xfId="0" applyNumberFormat="1" applyFont="1" applyFill="1" applyBorder="1" applyAlignment="1">
      <x:alignment vertical="top" wrapText="1"/>
    </x:xf>
    <x:xf numFmtId="0" fontId="7" fillId="5" borderId="0" xfId="0" applyNumberFormat="1" applyFont="1" applyFill="1" applyBorder="1"/>
    <x:xf numFmtId="0" fontId="7" fillId="5" borderId="0" xfId="0" applyNumberFormat="1" applyFont="1" applyFill="1" applyBorder="1" applyAlignment="1">
      <x:alignment wrapText="1"/>
    </x:xf>
    <x:xf numFmtId="0" fontId="7" fillId="5" borderId="0" xfId="0" applyNumberFormat="1" applyFont="1" applyFill="1" applyBorder="1" applyAlignment="1">
      <x:alignment horizontal="center" wrapText="1"/>
    </x:xf>
    <x:xf numFmtId="0" fontId="7" fillId="5" borderId="0" xfId="0" applyNumberFormat="1" applyFont="1" applyFill="1" applyBorder="1" applyAlignment="1">
      <x:alignment horizontal="center" vertical="center" wrapText="1"/>
    </x:xf>
    <x:xf numFmtId="0" fontId="3" fillId="2"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6" fillId="4" borderId="0" xfId="0" applyNumberFormat="1" applyFont="1" applyFill="1" applyBorder="1" applyAlignment="1">
      <x:alignment vertical="center"/>
    </x:xf>
    <x:xf numFmtId="200" fontId="6" fillId="4" borderId="0" xfId="0" applyNumberFormat="1" applyFont="1" applyFill="1" applyBorder="1" applyAlignment="1">
      <x:alignment vertical="center"/>
    </x:xf>
    <x:xf numFmtId="201" fontId="6" fillId="4" borderId="0" xfId="0" applyNumberFormat="1" applyFont="1" applyFill="1" applyBorder="1" applyAlignment="1">
      <x:alignment vertical="center"/>
    </x:xf>
    <x:xf numFmtId="202" fontId="6" fillId="4" borderId="0" xfId="0" applyNumberFormat="1" applyFont="1" applyFill="1" applyBorder="1" applyAlignment="1">
      <x:alignment vertical="center"/>
    </x:xf>
    <x:xf numFmtId="0" fontId="5" fillId="5" borderId="0" xfId="0" applyNumberFormat="1" applyFont="1" applyFill="1" applyBorder="1" applyAlignment="1">
      <x:alignment horizontal="center" vertical="center"/>
    </x:xf>
    <x:xf numFmtId="0" fontId="7" fillId="6" borderId="0" xfId="0" applyNumberFormat="1" applyFont="1" applyFill="1" applyBorder="1" applyAlignment="1">
      <x:alignment vertical="center" wrapText="1"/>
    </x:xf>
    <x:xf numFmtId="200" fontId="8" fillId="0" borderId="0" xfId="0" applyNumberFormat="1" applyFont="1" applyFill="1" applyBorder="1" applyAlignment="1">
      <x:alignment vertical="center"/>
    </x:xf>
    <x:xf numFmtId="201" fontId="8" fillId="0" borderId="0" xfId="0" applyNumberFormat="1" applyFont="1" applyFill="1" applyBorder="1" applyAlignment="1">
      <x:alignment vertical="center"/>
    </x:xf>
    <x:xf numFmtId="203" fontId="8" fillId="0" borderId="0" xfId="0" applyNumberFormat="1" applyFont="1" applyFill="1" applyBorder="1" applyAlignment="1">
      <x:alignment vertical="center"/>
    </x:xf>
    <x:xf numFmtId="202" fontId="8" fillId="0" borderId="0" xfId="0" applyNumberFormat="1" applyFont="1" applyFill="1" applyBorder="1" applyAlignment="1">
      <x:alignment vertical="center"/>
    </x:xf>
    <x:xf numFmtId="0" fontId="0" fillId="7" borderId="0" xfId="0" applyNumberFormat="1" applyFont="1" applyFill="1" applyBorder="1" applyAlignment="1">
      <x:alignment vertical="center" wrapText="1"/>
    </x:xf>
    <x:xf numFmtId="200" fontId="9" fillId="0" borderId="0" xfId="0" applyNumberFormat="1" applyFont="1" applyFill="1" applyBorder="1" applyAlignment="1">
      <x:alignment vertical="center"/>
    </x:xf>
    <x:xf numFmtId="201" fontId="9" fillId="0" borderId="0" xfId="0" applyNumberFormat="1" applyFont="1" applyFill="1" applyBorder="1" applyAlignment="1">
      <x:alignment vertical="center"/>
    </x:xf>
    <x:xf numFmtId="203" fontId="9" fillId="0" borderId="0" xfId="0" applyNumberFormat="1" applyFont="1" applyFill="1" applyBorder="1" applyAlignment="1">
      <x:alignment vertical="center"/>
    </x:xf>
    <x:xf numFmtId="203" fontId="0" fillId="0" borderId="0" xfId="0" applyNumberFormat="1" applyFont="1" applyFill="1" applyBorder="1" applyAlignment="1">
      <x:alignment vertical="center"/>
    </x:xf>
    <x:xf numFmtId="0" fontId="5" fillId="7" borderId="0" xfId="0" applyNumberFormat="1" applyFont="1" applyFill="1" applyBorder="1" applyAlignment="1">
      <x:alignment vertical="center"/>
    </x:xf>
    <x:xf numFmtId="203" fontId="5" fillId="7" borderId="0" xfId="0" applyNumberFormat="1" applyFont="1" applyFill="1" applyBorder="1" applyAlignment="1">
      <x:alignment vertical="center"/>
    </x:xf>
    <x:xf numFmtId="203" fontId="11" fillId="7" borderId="0" xfId="0" applyNumberFormat="1" applyFont="1" applyFill="1" applyBorder="1" applyAlignment="1">
      <x:alignment vertical="center"/>
    </x:xf>
    <x:xf numFmtId="201" fontId="5" fillId="7" borderId="0" xfId="0" applyNumberFormat="1" applyFont="1" applyFill="1" applyBorder="1" applyAlignment="1">
      <x:alignment vertical="center"/>
    </x:xf>
    <x:xf numFmtId="201" fontId="11" fillId="7" borderId="0" xfId="0" applyNumberFormat="1" applyFont="1" applyFill="1" applyBorder="1" applyAlignment="1">
      <x:alignment vertical="center"/>
    </x:xf>
    <x:xf numFmtId="0" fontId="9" fillId="0" borderId="0" xfId="0" applyNumberFormat="1" applyFont="1" applyFill="1" applyBorder="1" applyAlignment="1">
      <x:alignment vertical="center"/>
    </x:xf>
    <x:xf numFmtId="0" fontId="5" fillId="8" borderId="0" xfId="0" applyNumberFormat="1" applyFont="1" applyFill="1" applyBorder="1" applyAlignment="1">
      <x:alignment vertical="center"/>
    </x:xf>
    <x:xf numFmtId="203" fontId="11" fillId="8" borderId="0" xfId="0" applyNumberFormat="1" applyFont="1" applyFill="1" applyBorder="1" applyAlignment="1">
      <x:alignment vertical="center"/>
    </x:xf>
    <x:xf numFmtId="202" fontId="11" fillId="8" borderId="0" xfId="0" applyNumberFormat="1" applyFont="1" applyFill="1" applyBorder="1" applyAlignment="1">
      <x:alignment vertical="center"/>
    </x:xf>
    <x:xf numFmtId="200" fontId="11" fillId="8" borderId="0" xfId="0" applyNumberFormat="1" applyFont="1" applyFill="1" applyBorder="1" applyAlignment="1">
      <x:alignment vertical="center"/>
    </x:xf>
    <x:xf numFmtId="0" fontId="5" fillId="9" borderId="0" xfId="0" applyNumberFormat="1" applyFont="1" applyFill="1" applyBorder="1" applyAlignment="1">
      <x:alignment vertical="center"/>
    </x:xf>
    <x:xf numFmtId="203" fontId="11" fillId="9" borderId="0" xfId="0" applyNumberFormat="1" applyFont="1" applyFill="1" applyBorder="1" applyAlignment="1">
      <x:alignment vertical="center"/>
    </x:xf>
    <x:xf numFmtId="202" fontId="11" fillId="9" borderId="0" xfId="0" applyNumberFormat="1" applyFont="1" applyFill="1" applyBorder="1" applyAlignment="1">
      <x:alignment vertical="center"/>
    </x:xf>
    <x:xf numFmtId="200" fontId="11" fillId="9" borderId="0" xfId="0" applyNumberFormat="1" applyFont="1" applyFill="1" applyBorder="1" applyAlignment="1">
      <x:alignment vertical="center"/>
    </x:xf>
    <x:xf numFmtId="0" fontId="5" fillId="5" borderId="0" xfId="0" applyNumberFormat="1" applyFont="1" applyFill="1" applyBorder="1" applyAlignment="1">
      <x:alignment horizontal="center" vertical="center" wrapText="1"/>
    </x:xf>
    <x:xf numFmtId="200" fontId="0" fillId="0" borderId="0" xfId="0" applyNumberFormat="1" applyFont="1" applyFill="1" applyBorder="1" applyAlignment="1">
      <x:alignment vertical="center"/>
    </x:xf>
    <x:xf numFmtId="204" fontId="0" fillId="0" borderId="0" xfId="0" applyNumberFormat="1" applyFont="1" applyFill="1" applyBorder="1" applyAlignment="1">
      <x:alignment vertical="center"/>
    </x:xf>
    <x:xf numFmtId="201" fontId="0" fillId="0" borderId="0" xfId="0" applyNumberFormat="1" applyFont="1" applyFill="1" applyBorder="1" applyAlignment="1">
      <x:alignment vertical="center"/>
    </x:xf>
    <x:xf numFmtId="200" fontId="5" fillId="7" borderId="0" xfId="0" applyNumberFormat="1" applyFont="1" applyFill="1" applyBorder="1" applyAlignment="1">
      <x:alignment vertical="center"/>
    </x:xf>
    <x:xf numFmtId="0" fontId="12" fillId="8" borderId="0" xfId="0" applyNumberFormat="1" applyFont="1" applyFill="1" applyBorder="1" applyAlignment="1">
      <x:alignment vertical="center"/>
    </x:xf>
    <x:xf numFmtId="0" fontId="12" fillId="8"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205" fontId="0" fillId="0" borderId="0" xfId="0" applyNumberFormat="1" applyFont="1" applyFill="1" applyBorder="1" applyAlignment="1">
      <x:alignment vertical="center"/>
    </x:xf>
    <x:xf numFmtId="202" fontId="0" fillId="0" borderId="0" xfId="0" applyNumberFormat="1" applyFont="1" applyFill="1" applyBorder="1" applyAlignment="1">
      <x:alignment vertical="center"/>
    </x:xf>
    <x:xf numFmtId="0" fontId="13" fillId="0" borderId="0" xfId="0" applyNumberFormat="1" applyFont="1" applyFill="1" applyBorder="1" applyAlignment="1">
      <x:alignment vertical="center" wrapText="1"/>
    </x:xf>
    <x:xf numFmtId="206" fontId="0" fillId="0" borderId="0" xfId="0" applyNumberFormat="1" applyFont="1" applyFill="1" applyBorder="1" applyAlignment="1">
      <x:alignment vertical="center"/>
    </x:xf>
    <x:xf numFmtId="0" fontId="2" fillId="2" borderId="1" xfId="0" applyNumberFormat="1" applyFont="1" applyFill="1" applyBorder="1" applyAlignment="1">
      <x:alignment horizontal="left" vertical="center"/>
    </x:xf>
    <x:xf numFmtId="0" fontId="2" fillId="2" borderId="2" xfId="0" applyNumberFormat="1" applyFont="1" applyFill="1" applyBorder="1" applyAlignment="1">
      <x:alignment horizontal="left" vertical="center"/>
    </x:xf>
    <x:xf numFmtId="0" fontId="2" fillId="2" borderId="3" xfId="0" applyNumberFormat="1" applyFont="1" applyFill="1" applyBorder="1" applyAlignment="1">
      <x:alignment horizontal="left" vertical="center"/>
    </x:xf>
    <x:xf numFmtId="0" fontId="3" fillId="2" borderId="4" xfId="0" applyNumberFormat="1" applyFont="1" applyFill="1" applyBorder="1" applyAlignment="1">
      <x:alignment vertical="center" wrapText="1"/>
    </x:xf>
    <x:xf numFmtId="0" fontId="3" fillId="2" borderId="5" xfId="0" applyNumberFormat="1" applyFont="1" applyFill="1" applyBorder="1" applyAlignment="1">
      <x:alignment vertical="center" wrapText="1"/>
    </x:xf>
    <x:xf numFmtId="0" fontId="3" fillId="2" borderId="6" xfId="0" applyNumberFormat="1" applyFont="1" applyFill="1" applyBorder="1" applyAlignment="1">
      <x:alignment vertical="center" wrapText="1"/>
    </x:xf>
    <x:xf numFmtId="0" fontId="0" fillId="0" borderId="4" xfId="0" applyNumberFormat="1" applyFont="1" applyFill="1" applyBorder="1" applyAlignment="1">
      <x:alignment vertical="center"/>
    </x:xf>
    <x:xf numFmtId="0" fontId="0" fillId="0" borderId="5" xfId="0" applyNumberFormat="1" applyFont="1" applyFill="1" applyBorder="1" applyAlignment="1">
      <x:alignment vertical="center"/>
    </x:xf>
    <x:xf numFmtId="0" fontId="0" fillId="0" borderId="6" xfId="0" applyNumberFormat="1" applyFont="1" applyFill="1" applyBorder="1" applyAlignment="1">
      <x:alignment vertical="center"/>
    </x:xf>
    <x:xf numFmtId="0" fontId="5" fillId="5" borderId="5" xfId="0" applyNumberFormat="1" applyFont="1" applyFill="1" applyBorder="1" applyAlignment="1">
      <x:alignment horizontal="center" vertical="center"/>
    </x:xf>
    <x:xf numFmtId="0" fontId="5" fillId="5" borderId="6" xfId="0" applyNumberFormat="1" applyFont="1" applyFill="1" applyBorder="1" applyAlignment="1">
      <x:alignment horizontal="center" vertical="center"/>
    </x:xf>
    <x:xf numFmtId="0" fontId="4" fillId="3" borderId="4" xfId="0" applyNumberFormat="1" applyFont="1" applyFill="1" applyBorder="1" applyAlignment="1">
      <x:alignment vertical="center"/>
    </x:xf>
    <x:xf numFmtId="0" fontId="4" fillId="3" borderId="5" xfId="0" applyNumberFormat="1" applyFont="1" applyFill="1" applyBorder="1" applyAlignment="1">
      <x:alignment vertical="center"/>
    </x:xf>
    <x:xf numFmtId="0" fontId="4" fillId="3" borderId="6" xfId="0" applyNumberFormat="1" applyFont="1" applyFill="1" applyBorder="1" applyAlignment="1">
      <x:alignment vertical="center"/>
    </x:xf>
    <x:xf numFmtId="0" fontId="5" fillId="0" borderId="4" xfId="0" applyNumberFormat="1" applyFont="1" applyFill="1" applyBorder="1" applyAlignment="1">
      <x:alignment vertical="center"/>
    </x:xf>
    <x:xf numFmtId="200" fontId="8" fillId="0" borderId="5" xfId="0" applyNumberFormat="1" applyFont="1" applyFill="1" applyBorder="1" applyAlignment="1">
      <x:alignment vertical="center"/>
    </x:xf>
    <x:xf numFmtId="200" fontId="9" fillId="0" borderId="5" xfId="0" applyNumberFormat="1" applyFont="1" applyFill="1" applyBorder="1" applyAlignment="1">
      <x:alignment vertical="center"/>
    </x:xf>
    <x:xf numFmtId="200" fontId="9" fillId="0" borderId="6" xfId="0" applyNumberFormat="1" applyFont="1" applyFill="1" applyBorder="1" applyAlignment="1">
      <x:alignment vertical="center"/>
    </x:xf>
    <x:xf numFmtId="201" fontId="8" fillId="0" borderId="5" xfId="0" applyNumberFormat="1" applyFont="1" applyFill="1" applyBorder="1" applyAlignment="1">
      <x:alignment vertical="center"/>
    </x:xf>
    <x:xf numFmtId="201" fontId="9" fillId="0" borderId="5" xfId="0" applyNumberFormat="1" applyFont="1" applyFill="1" applyBorder="1" applyAlignment="1">
      <x:alignment vertical="center"/>
    </x:xf>
    <x:xf numFmtId="201" fontId="9" fillId="0" borderId="6" xfId="0" applyNumberFormat="1" applyFont="1" applyFill="1" applyBorder="1" applyAlignment="1">
      <x:alignment vertical="center"/>
    </x:xf>
    <x:xf numFmtId="203" fontId="8" fillId="0" borderId="5" xfId="0" applyNumberFormat="1" applyFont="1" applyFill="1" applyBorder="1" applyAlignment="1">
      <x:alignment vertical="center"/>
    </x:xf>
    <x:xf numFmtId="203" fontId="9" fillId="0" borderId="5" xfId="0" applyNumberFormat="1" applyFont="1" applyFill="1" applyBorder="1" applyAlignment="1">
      <x:alignment vertical="center"/>
    </x:xf>
    <x:xf numFmtId="203" fontId="9" fillId="0" borderId="6" xfId="0" applyNumberFormat="1" applyFont="1" applyFill="1" applyBorder="1" applyAlignment="1">
      <x:alignment vertical="center"/>
    </x:xf>
    <x:xf numFmtId="203" fontId="0" fillId="0" borderId="5" xfId="0" applyNumberFormat="1" applyFont="1" applyFill="1" applyBorder="1" applyAlignment="1">
      <x:alignment vertical="center"/>
    </x:xf>
    <x:xf numFmtId="0" fontId="5" fillId="7" borderId="4" xfId="0" applyNumberFormat="1" applyFont="1" applyFill="1" applyBorder="1" applyAlignment="1">
      <x:alignment vertical="center"/>
    </x:xf>
    <x:xf numFmtId="203" fontId="5" fillId="7" borderId="5" xfId="0" applyNumberFormat="1" applyFont="1" applyFill="1" applyBorder="1" applyAlignment="1">
      <x:alignment vertical="center"/>
    </x:xf>
    <x:xf numFmtId="203" fontId="11" fillId="7" borderId="5" xfId="0" applyNumberFormat="1" applyFont="1" applyFill="1" applyBorder="1" applyAlignment="1">
      <x:alignment vertical="center"/>
    </x:xf>
    <x:xf numFmtId="203" fontId="11" fillId="7" borderId="6" xfId="0" applyNumberFormat="1" applyFont="1" applyFill="1" applyBorder="1" applyAlignment="1">
      <x:alignment vertical="center"/>
    </x:xf>
    <x:xf numFmtId="201" fontId="5" fillId="7" borderId="5" xfId="0" applyNumberFormat="1" applyFont="1" applyFill="1" applyBorder="1" applyAlignment="1">
      <x:alignment vertical="center"/>
    </x:xf>
    <x:xf numFmtId="201" fontId="11" fillId="7" borderId="5" xfId="0" applyNumberFormat="1" applyFont="1" applyFill="1" applyBorder="1" applyAlignment="1">
      <x:alignment vertical="center"/>
    </x:xf>
    <x:xf numFmtId="201" fontId="11" fillId="7" borderId="6" xfId="0" applyNumberFormat="1" applyFont="1" applyFill="1" applyBorder="1" applyAlignment="1">
      <x:alignment vertical="center"/>
    </x:xf>
    <x:xf numFmtId="0" fontId="9" fillId="0" borderId="5" xfId="0" applyNumberFormat="1" applyFont="1" applyFill="1" applyBorder="1" applyAlignment="1">
      <x:alignment vertical="center"/>
    </x:xf>
    <x:xf numFmtId="0" fontId="9" fillId="0" borderId="6" xfId="0" applyNumberFormat="1" applyFont="1" applyFill="1" applyBorder="1" applyAlignment="1">
      <x:alignment vertical="center"/>
    </x:xf>
    <x:xf numFmtId="0" fontId="10" fillId="3" borderId="5" xfId="0" applyNumberFormat="1" applyFont="1" applyFill="1" applyBorder="1" applyAlignment="1">
      <x:alignment vertical="center"/>
    </x:xf>
    <x:xf numFmtId="0" fontId="10" fillId="3" borderId="6" xfId="0" applyNumberFormat="1" applyFont="1" applyFill="1" applyBorder="1" applyAlignment="1">
      <x:alignment vertical="center"/>
    </x:xf>
    <x:xf numFmtId="0" fontId="5" fillId="8" borderId="4" xfId="0" applyNumberFormat="1" applyFont="1" applyFill="1" applyBorder="1" applyAlignment="1">
      <x:alignment vertical="center"/>
    </x:xf>
    <x:xf numFmtId="0" fontId="5" fillId="8" borderId="5" xfId="0" applyNumberFormat="1" applyFont="1" applyFill="1" applyBorder="1" applyAlignment="1">
      <x:alignment vertical="center"/>
    </x:xf>
    <x:xf numFmtId="203" fontId="11" fillId="8" borderId="5" xfId="0" applyNumberFormat="1" applyFont="1" applyFill="1" applyBorder="1" applyAlignment="1">
      <x:alignment vertical="center"/>
    </x:xf>
    <x:xf numFmtId="203" fontId="11" fillId="8" borderId="6" xfId="0" applyNumberFormat="1" applyFont="1" applyFill="1" applyBorder="1" applyAlignment="1">
      <x:alignment vertical="center"/>
    </x:xf>
    <x:xf numFmtId="202" fontId="11" fillId="8" borderId="5" xfId="0" applyNumberFormat="1" applyFont="1" applyFill="1" applyBorder="1" applyAlignment="1">
      <x:alignment vertical="center"/>
    </x:xf>
    <x:xf numFmtId="202" fontId="11" fillId="8" borderId="6" xfId="0" applyNumberFormat="1" applyFont="1" applyFill="1" applyBorder="1" applyAlignment="1">
      <x:alignment vertical="center"/>
    </x:xf>
    <x:xf numFmtId="0" fontId="5" fillId="8" borderId="7" xfId="0" applyNumberFormat="1" applyFont="1" applyFill="1" applyBorder="1" applyAlignment="1">
      <x:alignment vertical="center"/>
    </x:xf>
    <x:xf numFmtId="0" fontId="5" fillId="8" borderId="8" xfId="0" applyNumberFormat="1" applyFont="1" applyFill="1" applyBorder="1" applyAlignment="1">
      <x:alignment vertical="center"/>
    </x:xf>
    <x:xf numFmtId="200" fontId="11" fillId="8" borderId="8" xfId="0" applyNumberFormat="1" applyFont="1" applyFill="1" applyBorder="1" applyAlignment="1">
      <x:alignment vertical="center"/>
    </x:xf>
    <x:xf numFmtId="200" fontId="11" fillId="8" borderId="9" xfId="0" applyNumberFormat="1" applyFont="1" applyFill="1" applyBorder="1" applyAlignment="1">
      <x:alignment vertical="center"/>
    </x:xf>
    <x:xf numFmtId="0" fontId="5" fillId="9" borderId="4" xfId="0" applyNumberFormat="1" applyFont="1" applyFill="1" applyBorder="1" applyAlignment="1">
      <x:alignment vertical="center"/>
    </x:xf>
    <x:xf numFmtId="0" fontId="5" fillId="9" borderId="5" xfId="0" applyNumberFormat="1" applyFont="1" applyFill="1" applyBorder="1" applyAlignment="1">
      <x:alignment vertical="center"/>
    </x:xf>
    <x:xf numFmtId="203" fontId="11" fillId="9" borderId="5" xfId="0" applyNumberFormat="1" applyFont="1" applyFill="1" applyBorder="1" applyAlignment="1">
      <x:alignment vertical="center"/>
    </x:xf>
    <x:xf numFmtId="203" fontId="11" fillId="9" borderId="6" xfId="0" applyNumberFormat="1" applyFont="1" applyFill="1" applyBorder="1" applyAlignment="1">
      <x:alignment vertical="center"/>
    </x:xf>
    <x:xf numFmtId="202" fontId="11" fillId="9" borderId="5" xfId="0" applyNumberFormat="1" applyFont="1" applyFill="1" applyBorder="1" applyAlignment="1">
      <x:alignment vertical="center"/>
    </x:xf>
    <x:xf numFmtId="202" fontId="11" fillId="9" borderId="6" xfId="0" applyNumberFormat="1" applyFont="1" applyFill="1" applyBorder="1" applyAlignment="1">
      <x:alignment vertical="center"/>
    </x:xf>
    <x:xf numFmtId="0" fontId="5" fillId="9" borderId="7" xfId="0" applyNumberFormat="1" applyFont="1" applyFill="1" applyBorder="1" applyAlignment="1">
      <x:alignment vertical="center"/>
    </x:xf>
    <x:xf numFmtId="0" fontId="5" fillId="9" borderId="8" xfId="0" applyNumberFormat="1" applyFont="1" applyFill="1" applyBorder="1" applyAlignment="1">
      <x:alignment vertical="center"/>
    </x:xf>
    <x:xf numFmtId="200" fontId="11" fillId="9" borderId="8" xfId="0" applyNumberFormat="1" applyFont="1" applyFill="1" applyBorder="1" applyAlignment="1">
      <x:alignment vertical="center"/>
    </x:xf>
    <x:xf numFmtId="200" fontId="11" fillId="9" borderId="9" xfId="0" applyNumberFormat="1" applyFont="1" applyFill="1" applyBorder="1" applyAlignment="1">
      <x:alignment vertical="center"/>
    </x:xf>
    <x:xf numFmtId="0" fontId="6" fillId="4" borderId="0" xfId="0" applyNumberFormat="1" applyFont="1" applyFill="1" applyBorder="1" applyAlignment="1">
      <x:alignment vertical="center" wrapText="1"/>
    </x:xf>
    <x:xf numFmtId="0" fontId="19" fillId="0" borderId="0" xfId="0" applyNumberFormat="1" applyFont="1" applyFill="1" applyBorder="1" applyAlignment="1">
      <x:alignment vertical="center"/>
    </x:xf>
    <x:xf numFmtId="0" fontId="0" fillId="10" borderId="0" xfId="0" applyNumberFormat="1" applyFont="1" applyFill="1" applyBorder="1" applyAlignment="1">
      <x:alignment vertical="center"/>
    </x:xf>
    <x:xf numFmtId="0" fontId="20" fillId="10" borderId="0" xfId="0" applyNumberFormat="1" applyFont="1" applyFill="1" applyBorder="1" applyAlignment="1">
      <x:alignment vertical="center"/>
    </x:xf>
    <x:xf numFmtId="0" fontId="21" fillId="0" borderId="0" xfId="0" applyNumberFormat="1" applyFont="1" applyFill="1" applyBorder="1" applyAlignment="1">
      <x:alignment vertical="center"/>
    </x:xf>
    <x:xf numFmtId="0" fontId="0" fillId="11" borderId="0" xfId="0" applyNumberFormat="1" applyFont="1" applyFill="1" applyBorder="1" applyAlignment="1">
      <x:alignment vertical="center"/>
    </x:xf>
    <x:xf numFmtId="0" fontId="22" fillId="11" borderId="0" xfId="0" applyNumberFormat="1" applyFont="1" applyFill="1" applyBorder="1" applyAlignment="1">
      <x:alignment vertical="center"/>
    </x:xf>
    <x:xf numFmtId="0" fontId="22" fillId="0" borderId="0" xfId="0" applyNumberFormat="1" applyFont="1" applyFill="1" applyBorder="1" applyAlignment="1">
      <x:alignment vertical="center"/>
    </x:xf>
    <x:xf numFmtId="0" fontId="19" fillId="0" borderId="0" xfId="0" applyNumberFormat="1" applyFont="1" applyFill="1" applyBorder="1" applyAlignment="1">
      <x:alignment vertical="center" wrapText="1"/>
    </x:xf>
    <x:xf numFmtId="0" fontId="20" fillId="10" borderId="0" xfId="0" applyNumberFormat="1" applyFont="1" applyFill="1" applyBorder="1" applyAlignment="1">
      <x:alignment vertical="center" wrapText="1"/>
    </x:xf>
    <x:xf numFmtId="0" fontId="22" fillId="11" borderId="0" xfId="0" applyNumberFormat="1" applyFont="1" applyFill="1" applyBorder="1" applyAlignment="1">
      <x:alignment vertical="center" wrapText="1"/>
    </x:xf>
    <x:xf numFmtId="0" fontId="22" fillId="0" borderId="0" xfId="0" applyNumberFormat="1" applyFont="1" applyFill="1" applyBorder="1" applyAlignment="1">
      <x:alignment vertical="center" wrapText="1"/>
    </x:xf>
    <x:xf numFmtId="0" fontId="21" fillId="0" borderId="0" xfId="0" applyNumberFormat="1" applyFont="1" applyFill="1" applyBorder="1" applyAlignment="1">
      <x:alignment vertical="center" wrapText="1"/>
    </x:xf>
    <x:xf numFmtId="208" fontId="20" fillId="10" borderId="0" xfId="0" applyNumberFormat="1" applyFont="1" applyFill="1" applyBorder="1" applyAlignment="1">
      <x:alignment vertical="center" wrapText="1"/>
    </x:xf>
    <x:xf numFmtId="209" fontId="20" fillId="10" borderId="0" xfId="0" applyNumberFormat="1" applyFont="1" applyFill="1" applyBorder="1" applyAlignment="1">
      <x:alignment vertical="center" wrapText="1"/>
    </x:xf>
    <x:xf numFmtId="210" fontId="22" fillId="11" borderId="0" xfId="0" applyNumberFormat="1" applyFont="1" applyFill="1" applyBorder="1" applyAlignment="1">
      <x:alignment vertical="center" wrapText="1"/>
    </x:xf>
    <x:xf numFmtId="0" fontId="5" fillId="8" borderId="7" xfId="0" applyNumberFormat="1" applyFont="1" applyFill="1" applyBorder="1" applyAlignment="1">
      <x:alignment vertical="center" wrapText="1"/>
    </x:xf>
    <x:xf numFmtId="0" fontId="22" fillId="0" borderId="0" xfId="0" applyNumberFormat="1" applyFont="1" applyFill="1" applyBorder="1"/>
    <x:xf numFmtId="0" fontId="19" fillId="0" borderId="0" xfId="0" applyNumberFormat="1" applyFont="1" applyFill="1" applyBorder="1"/>
    <x:xf numFmtId="210" fontId="22" fillId="0" borderId="0" xfId="0" applyNumberFormat="1" applyFont="1" applyFill="1" applyBorder="1" applyAlignment="1">
      <x:alignment vertical="center"/>
    </x:xf>
    <x:xf numFmtId="0" fontId="19" fillId="0" borderId="10" xfId="0" applyNumberFormat="1" applyFont="1" applyFill="1" applyBorder="1" applyAlignment="1">
      <x:alignment vertical="center"/>
    </x:xf>
    <x:xf numFmtId="0" fontId="22" fillId="0" borderId="11" xfId="0" applyNumberFormat="1" applyFont="1" applyFill="1" applyBorder="1" applyAlignment="1">
      <x:alignment vertical="center"/>
    </x:xf>
    <x:xf numFmtId="210" fontId="22" fillId="0" borderId="12" xfId="0" applyNumberFormat="1" applyFont="1" applyFill="1" applyBorder="1" applyAlignment="1">
      <x:alignment vertical="center"/>
    </x:xf>
    <x:xf numFmtId="0" fontId="19" fillId="0" borderId="13" xfId="0" applyNumberFormat="1" applyFont="1" applyFill="1" applyBorder="1" applyAlignment="1">
      <x:alignment vertical="center"/>
    </x:xf>
    <x:xf numFmtId="0" fontId="22" fillId="0" borderId="14" xfId="0" applyNumberFormat="1" applyFont="1" applyFill="1" applyBorder="1" applyAlignment="1">
      <x:alignment vertical="center"/>
    </x:xf>
    <x:xf numFmtId="210" fontId="22" fillId="0" borderId="15" xfId="0" applyNumberFormat="1" applyFont="1" applyFill="1" applyBorder="1" applyAlignment="1">
      <x:alignment vertical="center"/>
    </x:xf>
    <x:xf numFmtId="0" fontId="19" fillId="0" borderId="16" xfId="0" applyNumberFormat="1" applyFont="1" applyFill="1" applyBorder="1" applyAlignment="1">
      <x:alignment vertical="center"/>
    </x:xf>
    <x:xf numFmtId="0" fontId="22" fillId="0" borderId="17" xfId="0" applyNumberFormat="1" applyFont="1" applyFill="1" applyBorder="1" applyAlignment="1">
      <x:alignment vertical="center"/>
    </x:xf>
    <x:xf numFmtId="210" fontId="22" fillId="0" borderId="18" xfId="0" applyNumberFormat="1" applyFont="1" applyFill="1" applyBorder="1" applyAlignment="1">
      <x:alignment vertical="center"/>
    </x:xf>
    <x:xf numFmtId="0" fontId="5" fillId="9" borderId="7" xfId="0" applyNumberFormat="1" applyFont="1" applyFill="1" applyBorder="1" applyAlignment="1">
      <x:alignment vertical="center" wrapText="1"/>
    </x:xf>
    <x:xf numFmtId="0" fontId="19" fillId="10" borderId="10" xfId="0" applyNumberFormat="1" applyFont="1" applyFill="1" applyBorder="1" applyAlignment="1">
      <x:alignment vertical="center"/>
    </x:xf>
    <x:xf numFmtId="0" fontId="22" fillId="10" borderId="11" xfId="0" applyNumberFormat="1" applyFont="1" applyFill="1" applyBorder="1" applyAlignment="1">
      <x:alignment vertical="center"/>
    </x:xf>
    <x:xf numFmtId="210" fontId="22" fillId="10" borderId="12" xfId="0" applyNumberFormat="1" applyFont="1" applyFill="1" applyBorder="1" applyAlignment="1">
      <x:alignment vertical="center"/>
    </x:xf>
    <x:xf numFmtId="0" fontId="19" fillId="12" borderId="13" xfId="0" applyNumberFormat="1" applyFont="1" applyFill="1" applyBorder="1" applyAlignment="1">
      <x:alignment vertical="center"/>
    </x:xf>
    <x:xf numFmtId="0" fontId="22" fillId="12" borderId="14" xfId="0" applyNumberFormat="1" applyFont="1" applyFill="1" applyBorder="1" applyAlignment="1">
      <x:alignment vertical="center"/>
    </x:xf>
    <x:xf numFmtId="210" fontId="22" fillId="12" borderId="15" xfId="0" applyNumberFormat="1" applyFont="1" applyFill="1" applyBorder="1" applyAlignment="1">
      <x:alignment vertical="center"/>
    </x:xf>
    <x:xf numFmtId="0" fontId="19" fillId="10" borderId="16" xfId="0" applyNumberFormat="1" applyFont="1" applyFill="1" applyBorder="1" applyAlignment="1">
      <x:alignment vertical="center"/>
    </x:xf>
    <x:xf numFmtId="0" fontId="22" fillId="10" borderId="17" xfId="0" applyNumberFormat="1" applyFont="1" applyFill="1" applyBorder="1" applyAlignment="1">
      <x:alignment vertical="center"/>
    </x:xf>
    <x:xf numFmtId="210" fontId="22" fillId="10" borderId="18" xfId="0" applyNumberFormat="1" applyFont="1" applyFill="1" applyBorder="1" applyAlignment="1">
      <x:alignment vertical="center"/>
    </x:xf>
    <x:xf numFmtId="0" fontId="19" fillId="13" borderId="10" xfId="0" applyNumberFormat="1" applyFont="1" applyFill="1" applyBorder="1" applyAlignment="1">
      <x:alignment vertical="center"/>
    </x:xf>
    <x:xf numFmtId="0" fontId="22" fillId="13" borderId="11" xfId="0" applyNumberFormat="1" applyFont="1" applyFill="1" applyBorder="1" applyAlignment="1">
      <x:alignment vertical="center"/>
    </x:xf>
    <x:xf numFmtId="210" fontId="22" fillId="13" borderId="12" xfId="0" applyNumberFormat="1" applyFont="1" applyFill="1" applyBorder="1" applyAlignment="1">
      <x:alignment vertical="center"/>
    </x:xf>
    <x:xf numFmtId="0" fontId="19" fillId="13" borderId="13" xfId="0" applyNumberFormat="1" applyFont="1" applyFill="1" applyBorder="1" applyAlignment="1">
      <x:alignment vertical="center"/>
    </x:xf>
    <x:xf numFmtId="0" fontId="22" fillId="13" borderId="14" xfId="0" applyNumberFormat="1" applyFont="1" applyFill="1" applyBorder="1" applyAlignment="1">
      <x:alignment vertical="center"/>
    </x:xf>
    <x:xf numFmtId="210" fontId="22" fillId="13" borderId="15" xfId="0" applyNumberFormat="1" applyFont="1" applyFill="1" applyBorder="1" applyAlignment="1">
      <x:alignment vertical="center"/>
    </x:xf>
    <x:xf numFmtId="0" fontId="19" fillId="13" borderId="16" xfId="0" applyNumberFormat="1" applyFont="1" applyFill="1" applyBorder="1" applyAlignment="1">
      <x:alignment vertical="center"/>
    </x:xf>
    <x:xf numFmtId="0" fontId="22" fillId="13" borderId="17" xfId="0" applyNumberFormat="1" applyFont="1" applyFill="1" applyBorder="1" applyAlignment="1">
      <x:alignment vertical="center"/>
    </x:xf>
    <x:xf numFmtId="210" fontId="22" fillId="13" borderId="18" xfId="0" applyNumberFormat="1" applyFont="1" applyFill="1" applyBorder="1" applyAlignment="1">
      <x:alignment vertical="center"/>
    </x:xf>
    <x:xf numFmtId="210" fontId="23" fillId="13" borderId="15" xfId="0" applyNumberFormat="1" applyFont="1" applyFill="1" applyBorder="1" applyAlignment="1">
      <x:alignment vertical="center"/>
    </x:xf>
    <x:xf numFmtId="210" fontId="23" fillId="13" borderId="18" xfId="0" applyNumberFormat="1" applyFont="1" applyFill="1" applyBorder="1" applyAlignment="1">
      <x:alignment vertical="center"/>
    </x:xf>
    <x:xf numFmtId="0" fontId="19" fillId="10" borderId="0" xfId="0" applyNumberFormat="1" applyFont="1" applyFill="1" applyBorder="1" applyAlignment="1">
      <x:alignment vertical="center"/>
    </x:xf>
    <x:xf numFmtId="0" fontId="22" fillId="10" borderId="0" xfId="0" applyNumberFormat="1" applyFont="1" applyFill="1" applyBorder="1" applyAlignment="1">
      <x:alignment vertical="center"/>
    </x:xf>
    <x:xf numFmtId="0" fontId="22" fillId="10" borderId="0" xfId="0" applyNumberFormat="1" applyFont="1" applyFill="1" applyBorder="1" applyAlignment="1">
      <x:alignment vertical="center" wrapText="1"/>
    </x:xf>
    <x:xf numFmtId="0" fontId="19" fillId="10" borderId="0" xfId="0" applyNumberFormat="1" applyFont="1" applyFill="1" applyBorder="1"/>
    <x:xf numFmtId="0" fontId="22" fillId="10" borderId="0" xfId="0" applyNumberFormat="1" applyFont="1" applyFill="1" applyBorder="1"/>
    <x:xf numFmtId="0" fontId="23" fillId="10" borderId="0" xfId="0" applyNumberFormat="1" applyFont="1" applyFill="1" applyBorder="1"/>
    <x:xf numFmtId="0" fontId="19" fillId="10" borderId="0" xfId="0" applyNumberFormat="1" applyFont="1" applyFill="1" applyBorder="1" applyAlignment="1">
      <x:alignment wrapText="1"/>
    </x:xf>
    <x:xf numFmtId="0" fontId="22" fillId="10" borderId="0" xfId="0" applyNumberFormat="1" applyFont="1" applyFill="1" applyBorder="1" applyAlignment="1">
      <x:alignment wrapText="1"/>
    </x:xf>
    <x:xf numFmtId="0" fontId="23" fillId="10" borderId="0" xfId="0" applyNumberFormat="1" applyFont="1" applyFill="1" applyBorder="1" applyAlignment="1">
      <x:alignment wrapText="1"/>
    </x:xf>
    <x:xf numFmtId="0" fontId="5" fillId="11" borderId="0" xfId="0" applyNumberFormat="1" applyFont="1" applyFill="1" applyBorder="1" applyAlignment="1">
      <x:alignment horizontal="center" vertical="center"/>
    </x:xf>
    <x:xf numFmtId="0" fontId="19" fillId="11" borderId="0" xfId="0" applyNumberFormat="1" applyFont="1" applyFill="1" applyBorder="1" applyAlignment="1">
      <x:alignment horizontal="center" vertical="center"/>
    </x:xf>
    <x:xf numFmtId="200" fontId="22" fillId="0" borderId="0" xfId="0" applyNumberFormat="1" applyFont="1" applyFill="1" applyBorder="1" applyAlignment="1">
      <x:alignment vertical="center"/>
    </x:xf>
    <x:xf numFmtId="210" fontId="22" fillId="0" borderId="0" xfId="0" applyNumberFormat="1" applyFont="1" applyFill="1" applyBorder="1"/>
    <x:xf numFmtId="210" fontId="22" fillId="0" borderId="0" xfId="0" applyNumberFormat="1" applyFont="1" applyFill="1" applyBorder="1" applyAlignment="1">
      <x:alignment vertical="center" wrapText="1"/>
    </x:xf>
    <x:xf numFmtId="0" fontId="22" fillId="0" borderId="0" xfId="0" applyNumberFormat="1" applyFont="1" applyFill="1" applyBorder="1" applyAlignment="1">
      <x:alignment wrapText="1"/>
    </x:xf>
    <x:xf numFmtId="210" fontId="22" fillId="0" borderId="0" xfId="0" applyNumberFormat="1" applyFont="1" applyFill="1" applyBorder="1" applyAlignment="1">
      <x:alignment wrapText="1"/>
    </x:xf>
    <x:xf numFmtId="210" fontId="20" fillId="0" borderId="0" xfId="0" applyNumberFormat="1" applyFont="1" applyFill="1" applyBorder="1" applyAlignment="1">
      <x:alignment vertical="center" wrapText="1"/>
    </x:xf>
    <x:xf numFmtId="204" fontId="6" fillId="4" borderId="0" xfId="0" applyNumberFormat="1" applyFont="1" applyFill="1" applyBorder="1" applyAlignment="1">
      <x:alignment vertical="center"/>
    </x:xf>
    <x:xf numFmtId="0" fontId="24" fillId="0" borderId="0" xfId="0" applyNumberFormat="1" applyFont="1" applyFill="1" applyBorder="1" applyAlignment="1">
      <x:alignment wrapText="1"/>
    </x:xf>
    <x:xf numFmtId="0" fontId="24" fillId="0" borderId="0" xfId="0" applyNumberFormat="1" applyFont="1" applyFill="1" applyBorder="1" applyAlignment="1">
      <x:alignment vertical="center" wrapText="1"/>
    </x:xf>
    <x:xf numFmtId="210" fontId="22" fillId="4" borderId="18" xfId="0" applyNumberFormat="1" applyFont="1" applyFill="1" applyBorder="1" applyAlignment="1">
      <x:alignment vertical="center" wrapText="1"/>
    </x:xf>
    <x:xf numFmtId="207" fontId="25" fillId="2" borderId="0" xfId="0" applyNumberFormat="1" applyFont="1" applyFill="1" applyBorder="1" applyAlignment="1">
      <x:alignment horizontal="center" vertical="center"/>
    </x:xf>
    <x:xf numFmtId="202" fontId="25" fillId="2" borderId="0" xfId="0" applyNumberFormat="1" applyFont="1" applyFill="1" applyBorder="1" applyAlignment="1">
      <x:alignment horizontal="center" vertical="center"/>
    </x:xf>
    <x:xf numFmtId="210" fontId="22" fillId="5" borderId="0" xfId="0" applyNumberFormat="1" applyFont="1" applyFill="1" applyBorder="1" applyAlignment="1">
      <x:alignment vertical="center" wrapText="1"/>
    </x:xf>
    <x:xf numFmtId="0" fontId="9" fillId="0" borderId="0" xfId="0" applyNumberFormat="1" applyFont="1" applyFill="1" applyBorder="1" applyAlignment="1">
      <x:alignment vertical="center" wrapText="1"/>
    </x:xf>
    <x:xf numFmtId="210" fontId="22" fillId="4" borderId="12" xfId="0" applyNumberFormat="1" applyFont="1" applyFill="1" applyBorder="1" applyAlignment="1">
      <x:alignment vertical="center"/>
    </x:xf>
    <x:xf numFmtId="210" fontId="22" fillId="8" borderId="15" xfId="0" applyNumberFormat="1" applyFont="1" applyFill="1" applyBorder="1" applyAlignment="1">
      <x:alignment vertical="center"/>
    </x:xf>
    <x:xf numFmtId="210" fontId="22" fillId="9" borderId="12" xfId="0" applyNumberFormat="1" applyFont="1" applyFill="1" applyBorder="1" applyAlignment="1">
      <x:alignment vertical="center"/>
    </x:xf>
    <x:xf numFmtId="210" fontId="19" fillId="9" borderId="15" xfId="0" applyNumberFormat="1" applyFont="1" applyFill="1" applyBorder="1" applyAlignment="1">
      <x:alignment vertical="center"/>
    </x:xf>
    <x:xf numFmtId="210" fontId="19" fillId="9" borderId="18" xfId="0" applyNumberFormat="1" applyFont="1" applyFill="1" applyBorder="1" applyAlignment="1">
      <x:alignment vertical="center"/>
    </x:xf>
    <x:xf numFmtId="200" fontId="11" fillId="7" borderId="0" xfId="0" applyNumberFormat="1" applyFont="1" applyFill="1" applyBorder="1" applyAlignment="1">
      <x:alignment vertical="center"/>
    </x:xf>
    <x:xf numFmtId="202" fontId="9" fillId="0" borderId="0" xfId="0" applyNumberFormat="1" applyFont="1" applyFill="1" applyBorder="1" applyAlignment="1">
      <x:alignment vertical="center"/>
    </x:xf>
    <x:xf numFmtId="206" fontId="9" fillId="0" borderId="0" xfId="0" applyNumberFormat="1" applyFont="1" applyFill="1" applyBorder="1" applyAlignment="1">
      <x:alignment vertical="center"/>
    </x:xf>
    <x:xf numFmtId="0" fontId="22" fillId="4" borderId="0" xfId="0" applyNumberFormat="1" applyFont="1" applyFill="1" applyBorder="1" applyAlignment="1">
      <x:alignment wrapText="1"/>
    </x:xf>
    <x:xf numFmtId="0" fontId="19" fillId="4" borderId="0" xfId="0" applyNumberFormat="1" applyFont="1" applyFill="1" applyBorder="1" applyAlignment="1">
      <x:alignment wrapText="1"/>
    </x:xf>
    <x:xf numFmtId="0" fontId="9" fillId="4" borderId="0" xfId="0" applyNumberFormat="1" applyFont="1" applyFill="1" applyBorder="1" applyAlignment="1">
      <x:alignment vertical="center" wrapText="1"/>
    </x:xf>
    <x:xf numFmtId="204" fontId="9" fillId="0" borderId="0" xfId="0" applyNumberFormat="1" applyFont="1" applyFill="1" applyBorder="1" applyAlignment="1">
      <x:alignment vertical="center"/>
    </x:xf>
    <x:xf numFmtId="0" fontId="10" fillId="2" borderId="0" xfId="0" applyNumberFormat="1" applyFont="1" applyFill="1" applyBorder="1" applyAlignment="1">
      <x:alignment horizontal="left" vertical="center" wrapText="1"/>
    </x:xf>
    <x:xf numFmtId="0" fontId="26" fillId="2" borderId="0" xfId="0" applyNumberFormat="1" applyFont="1" applyFill="1" applyBorder="1" applyAlignment="1">
      <x:alignment vertical="top" wrapText="1"/>
    </x:xf>
    <x:xf numFmtId="209" fontId="21" fillId="4" borderId="0" xfId="0" applyNumberFormat="1" applyFont="1" applyFill="1" applyBorder="1" applyAlignment="1">
      <x:alignment vertical="center" wrapText="1"/>
    </x:xf>
    <x:xf numFmtId="200" fontId="8" fillId="4" borderId="0" xfId="0" applyNumberFormat="1" applyFont="1" applyFill="1" applyBorder="1" applyAlignment="1">
      <x:alignment vertical="center"/>
    </x:xf>
    <x:xf numFmtId="0" fontId="20" fillId="0" borderId="0" xfId="0" applyNumberFormat="1" applyFont="1" applyFill="1" applyBorder="1" applyAlignment="1">
      <x:alignment vertical="center" wrapText="1"/>
    </x:xf>
    <x:xf numFmtId="208" fontId="20" fillId="4" borderId="0" xfId="0" applyNumberFormat="1" applyFont="1" applyFill="1" applyBorder="1" applyAlignment="1">
      <x:alignment vertical="center" wrapText="1"/>
    </x:xf>
  </x:cellXfs>
  <x:cellStyles count="1">
    <x:cellStyle name="Normal" xfId="0"/>
  </x:cellStyles>
  <x:dxfs count="7">
    <x:dxf>
      <x:font>
        <x:color rgb="FFC00000"/>
      </x:font>
      <x:fill>
        <x:patternFill>
          <x:bgColor rgb="FFFCE4D6"/>
        </x:patternFill>
      </x:fill>
    </x:dxf>
    <x:dxf>
      <x:font>
        <x:b/>
        <x:color rgb="FFC00000"/>
      </x:font>
      <x:fill>
        <x:patternFill>
          <x:bgColor rgb="FFFCE4D6"/>
        </x:patternFill>
      </x:fill>
    </x:dxf>
    <x:dxf>
      <x:font>
        <x:color rgb="FFC00000"/>
      </x:font>
      <x:fill>
        <x:patternFill>
          <x:bgColor rgb="FFFCE4D6"/>
        </x:patternFill>
      </x:fill>
    </x:dxf>
    <x:dxf>
      <x:font>
        <x:b/>
        <x:color rgb="FFC00000"/>
      </x:font>
      <x:fill>
        <x:patternFill>
          <x:bgColor rgb="FFFCE4D6"/>
        </x:patternFill>
      </x:fill>
    </x:dxf>
    <x:dxf>
      <x:font>
        <x:b/>
        <x:color rgb="FFC00000"/>
      </x:font>
      <x:fill>
        <x:patternFill>
          <x:bgColor rgb="FFFCE4D6"/>
        </x:patternFill>
      </x:fill>
    </x:dxf>
    <x:dxf>
      <x:font>
        <x:b/>
        <x:color rgb="FFC00000"/>
      </x:font>
      <x:fill>
        <x:patternFill>
          <x:bgColor rgb="FFFCE4D6"/>
        </x:patternFill>
      </x:fill>
    </x:dxf>
    <x:dxf>
      <x:font>
        <x:b/>
        <x:color rgb="FF1E7145"/>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4912ec0a71f4fe2" /><Relationship Type="http://schemas.openxmlformats.org/officeDocument/2006/relationships/theme" Target="/xl/theme/theme1.xml" Id="R5aea281aaf49441d" /><Relationship Type="http://schemas.openxmlformats.org/officeDocument/2006/relationships/sharedStrings" Target="/xl/sharedStrings.xml" Id="R56b88071a9ad42f6" /><Relationship Type="http://schemas.openxmlformats.org/officeDocument/2006/relationships/worksheet" Target="/xl/worksheets/sheet1.xml" Id="R4f6093fe3f594d6f" /><Relationship Type="http://schemas.openxmlformats.org/officeDocument/2006/relationships/worksheet" Target="/xl/worksheets/sheet2.xml" Id="R134e26beb31e401b" /><Relationship Type="http://schemas.openxmlformats.org/officeDocument/2006/relationships/worksheet" Target="/xl/worksheets/sheet3.xml" Id="R2a25c40707404aa1" /><Relationship Type="http://schemas.openxmlformats.org/officeDocument/2006/relationships/worksheet" Target="/xl/worksheets/sheet4.xml" Id="R4e61f8d417d44869" /><Relationship Type="http://schemas.openxmlformats.org/officeDocument/2006/relationships/worksheet" Target="/xl/worksheets/sheet5.xml" Id="Rc9766d1c088a487e" /><Relationship Type="http://schemas.openxmlformats.org/officeDocument/2006/relationships/worksheet" Target="/xl/worksheets/sheet6.xml" Id="R29326eecb20a476d" /><Relationship Type="http://schemas.openxmlformats.org/officeDocument/2006/relationships/worksheet" Target="/xl/worksheets/sheet7.xml" Id="R3f44474651b94715" /></Relationships>
</file>

<file path=xl/drawings/_rels/drawing1.xml.rels>&#65279;<?xml version="1.0" encoding="utf-8"?><Relationships xmlns="http://schemas.openxmlformats.org/package/2006/relationships"><Relationship Type="http://schemas.openxmlformats.org/officeDocument/2006/relationships/chart" Target="/xl/drawings/charts/chart1.xml" Id="R02b64bf2e72b4a06" /><Relationship Type="http://schemas.openxmlformats.org/officeDocument/2006/relationships/chart" Target="/xl/drawings/charts/chart2.xml" Id="R1e32ef596139458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Net leverage — base and downside</a:t>
            </a:r>
          </a:p>
        </c:rich>
      </c:tx>
      <c:overlay val="0"/>
    </c:title>
    <c:plotArea>
      <c:lineChart>
        <c:grouping val="standard"/>
        <c:varyColors val="0"/>
        <c:ser>
          <c:idx val="0"/>
          <c:order val="0"/>
          <c:tx>
            <c:v>Base net leverage</c:v>
          </c:tx>
          <c:marker>
            <c:symbol val="none"/>
          </c:marker>
          <c:cat>
            <c:strRef>
              <c:f>'Sources &amp; Checks'!$A$36:$A$40</c:f>
              <c:strCache>
                <c:ptCount val="0"/>
              </c:strCache>
            </c:strRef>
          </c:cat>
          <c:val>
            <c:numRef>
              <c:f>'Sources &amp; Checks'!$B$36:$B$40</c:f>
              <c:numCache>
                <c:formatCode>0.00x</c:formatCode>
                <c:ptCount val="0"/>
              </c:numCache>
            </c:numRef>
          </c:val>
          <c:smooth val="0"/>
        </c:ser>
        <c:ser>
          <c:idx val="1"/>
          <c:order val="1"/>
          <c:tx>
            <c:v>Downside net leverage</c:v>
          </c:tx>
          <c:marker>
            <c:symbol val="none"/>
          </c:marker>
          <c:cat>
            <c:strRef>
              <c:f>'Sources &amp; Checks'!$A$36:$A$40</c:f>
              <c:strCache>
                <c:ptCount val="0"/>
              </c:strCache>
            </c:strRef>
          </c:cat>
          <c:val>
            <c:numRef>
              <c:f>'Sources &amp; Checks'!$C$36:$C$40</c:f>
              <c:numCache>
                <c:formatCode>0.00x</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5"/>
          <c:min val="2"/>
        </c:scaling>
        <c:delete val="0"/>
        <c:axPos val="l"/>
        <c:majorGridlines>
          <c:spPr>
            <a:ln xmlns:a="http://schemas.openxmlformats.org/drawingml/2006/main" w="9525">
              <a:solidFill>
                <a:srgbClr val="CCCCCC"/>
              </a:solidFill>
              <a:prstDash val="dash"/>
            </a:ln>
          </c:spPr>
        </c:majorGridlines>
        <c:numFmt formatCode="0.0x"/>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Refinancing amounts around FY30E</a:t>
            </a:r>
          </a:p>
        </c:rich>
      </c:tx>
      <c:overlay val="0"/>
    </c:title>
    <c:plotArea>
      <c:barChart>
        <c:barDir val="col"/>
        <c:varyColors val="0"/>
        <c:ser>
          <c:idx val="0"/>
          <c:order val="0"/>
          <c:tx>
            <c:v>Principal</c:v>
          </c:tx>
          <c:cat>
            <c:strRef>
              <c:f>'Sources &amp; Checks'!$A$44:$A$47</c:f>
              <c:strCache>
                <c:ptCount val="0"/>
              </c:strCache>
            </c:strRef>
          </c:cat>
          <c:val>
            <c:numRef>
              <c:f>'Sources &amp; Checks'!$B$44:$B$47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12</xdr:row>
      <xdr:rowOff>0</xdr:rowOff>
    </xdr:from>
    <xdr:to>
      <xdr:col>17</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2b64bf2e72b4a06"/>
        </a:graphicData>
      </a:graphic>
    </xdr:graphicFrame>
    <xdr:clientData/>
  </xdr:twoCellAnchor>
  <xdr:twoCellAnchor>
    <xdr:from>
      <xdr:col>7</xdr:col>
      <xdr:colOff>0</xdr:colOff>
      <xdr:row>25</xdr:row>
      <xdr:rowOff>0</xdr:rowOff>
    </xdr:from>
    <xdr:to>
      <xdr:col>17</xdr:col>
      <xdr:colOff>0</xdr:colOff>
      <xdr:row>37</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e32ef5961394586"/>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bb13cd8d6534401"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3"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s>
  <x:sheetData>
    <x:row r="1" ht="27" customHeight="1">
      <x:c r="A1" s="5" t="str">
        <x:v>Morrisons leveraged finance credit review</x:v>
      </x:c>
      <x:c r="B1" s="5"/>
      <x:c r="C1" s="5"/>
      <x:c r="D1" s="5"/>
      <x:c r="E1" s="5"/>
      <x:c r="F1" s="5"/>
      <x:c r="G1" s="5"/>
      <x:c r="H1" s="5"/>
      <x:c r="I1" s="5"/>
      <x:c r="J1" s="5"/>
      <x:c r="K1" s="5"/>
      <x:c r="L1" s="5"/>
      <x:c r="M1" s="5"/>
      <x:c r="N1" s="5"/>
      <x:c r="O1" s="5"/>
      <x:c r="P1" s="5"/>
      <x:c r="Q1" s="5"/>
    </x:row>
    <x:row r="2" ht="20" customHeight="1">
      <x:c r="A2" s="8" t="str">
        <x:v>Illustrative senior secured refinancing analysis based on public information, July 2026</x:v>
      </x:c>
      <x:c r="B2" s="8" t="str">
        <x:v>Illustrative senior secured refinancing analysis based on public information, July 2026</x:v>
      </x:c>
      <x:c r="C2" s="8" t="str">
        <x:v>Illustrative senior secured refinancing analysis based on public information, July 2026</x:v>
      </x:c>
      <x:c r="D2" s="8" t="str">
        <x:v>Illustrative senior secured refinancing analysis based on public information, July 2026</x:v>
      </x:c>
      <x:c r="E2" s="8" t="str">
        <x:v>Illustrative senior secured refinancing analysis based on public information, July 2026</x:v>
      </x:c>
      <x:c r="F2" s="8" t="str">
        <x:v>Illustrative senior secured refinancing analysis based on public information, July 2026</x:v>
      </x:c>
      <x:c r="G2" s="8" t="str">
        <x:v>Illustrative senior secured refinancing analysis based on public information, July 2026</x:v>
      </x:c>
      <x:c r="H2" s="8" t="str">
        <x:v>Illustrative senior secured refinancing analysis based on public information, July 2026</x:v>
      </x:c>
      <x:c r="I2" s="8" t="str">
        <x:v>Illustrative senior secured refinancing analysis based on public information, July 2026</x:v>
      </x:c>
      <x:c r="J2" s="8" t="str">
        <x:v>Illustrative senior secured refinancing analysis based on public information, July 2026</x:v>
      </x:c>
      <x:c r="K2" s="8" t="str">
        <x:v>Illustrative senior secured refinancing analysis based on public information, July 2026</x:v>
      </x:c>
      <x:c r="L2" s="8" t="str">
        <x:v>Illustrative senior secured refinancing analysis based on public information, July 2026</x:v>
      </x:c>
      <x:c r="M2" s="8" t="str">
        <x:v>Illustrative senior secured refinancing analysis based on public information, July 2026</x:v>
      </x:c>
      <x:c r="N2" s="8" t="str">
        <x:v>Illustrative senior secured refinancing analysis based on public information, July 2026</x:v>
      </x:c>
      <x:c r="O2" s="8" t="str">
        <x:v>Illustrative senior secured refinancing analysis based on public information, July 2026</x:v>
      </x:c>
      <x:c r="P2" s="8" t="str">
        <x:v>Illustrative senior secured refinancing analysis based on public information, July 2026</x:v>
      </x:c>
      <x:c r="Q2" s="8" t="str">
        <x:v>Illustrative senior secured refinancing analysis based on public information, July 2026</x:v>
      </x:c>
    </x:row>
    <x:row r="4">
      <x:c r="A4" s="81" t="str">
        <x:v>Credit decision
Approve with conditions</x:v>
      </x:c>
      <x:c r="B4" s="81" t="str">
        <x:v>Credit decision
Approve with conditions</x:v>
      </x:c>
      <x:c r="C4" s="81" t="str">
        <x:v>Credit decision
Approve with conditions</x:v>
      </x:c>
      <x:c r="D4" s="81" t="str">
        <x:v>Credit decision
Approve with conditions</x:v>
      </x:c>
      <x:c r="E4" s="81" t="str">
        <x:v>Credit decision
Approve with conditions</x:v>
      </x:c>
      <x:c r="F4" s="81" t="str">
        <x:v>Credit decision
Approve with conditions</x:v>
      </x:c>
      <x:c r="H4" s="288" t="str">
        <x:f>"Illustrative facility"&amp;CHAR(10)&amp;"£"&amp;TEXT(Assumptions!B17,"#,##0")&amp;"m term-out; £"&amp;TEXT(Assumptions!G7,"#,##0.0")&amp;"m proceeds. Closing cash use / (release): £"&amp;TEXT(Assumptions!G9,"0.0;(0.0)")&amp;"m, including £"&amp;TEXT(Assumptions!G10,"0.0")&amp;"m assumed fees."</x:f>
        <x:v>Illustrative facility
£900m term-out; £891.0m proceeds. Closing cash use / (release): £9.8m, including £5.0m assumed fees.</x:v>
      </x:c>
      <x:c r="I4" s="85" t="str">
        <x:v>Illustrative facility
£900m senior secured term-out refinancing residual 2027 secured notes and £750m 2028 senior notes</x:v>
      </x:c>
      <x:c r="J4" s="85" t="str">
        <x:v>Illustrative facility
£900m senior secured term-out refinancing residual 2027 secured notes and £750m 2028 senior notes</x:v>
      </x:c>
      <x:c r="K4" s="85" t="str">
        <x:v>Illustrative facility
£900m senior secured term-out refinancing residual 2027 secured notes and £750m 2028 senior notes</x:v>
      </x:c>
      <x:c r="L4" s="85" t="str">
        <x:v>Illustrative facility
£900m senior secured term-out refinancing residual 2027 secured notes and £750m 2028 senior notes</x:v>
      </x:c>
      <x:c r="M4" s="85" t="str">
        <x:v>Illustrative facility
£900m senior secured term-out refinancing residual 2027 secured notes and £750m 2028 senior notes</x:v>
      </x:c>
      <x:c r="N4" s="85" t="str">
        <x:v>Illustrative facility
£900m senior secured term-out refinancing residual 2027 secured notes and £750m 2028 senior notes</x:v>
      </x:c>
      <x:c r="O4" s="85" t="str">
        <x:v>Illustrative facility
£900m senior secured term-out refinancing residual 2027 secured notes and £750m 2028 senior notes</x:v>
      </x:c>
      <x:c r="P4" s="85" t="str">
        <x:v>Illustrative facility
£900m senior secured term-out refinancing residual 2027 secured notes and £750m 2028 senior notes</x:v>
      </x:c>
      <x:c r="Q4" s="85" t="str">
        <x:v>Illustrative facility
£900m senior secured term-out refinancing residual 2027 secured notes and £750m 2028 senior notes</x:v>
      </x:c>
    </x:row>
    <x:row r="5">
      <x:c r="A5" s="81" t="str">
        <x:v>Credit decision
Approve with conditions</x:v>
      </x:c>
      <x:c r="B5" s="81" t="str">
        <x:v>Credit decision
Approve with conditions</x:v>
      </x:c>
      <x:c r="C5" s="81" t="str">
        <x:v>Credit decision
Approve with conditions</x:v>
      </x:c>
      <x:c r="D5" s="81" t="str">
        <x:v>Credit decision
Approve with conditions</x:v>
      </x:c>
      <x:c r="E5" s="81" t="str">
        <x:v>Credit decision
Approve with conditions</x:v>
      </x:c>
      <x:c r="F5" s="81" t="str">
        <x:v>Credit decision
Approve with conditions</x:v>
      </x:c>
      <x:c r="H5" s="85" t="str">
        <x:v>Illustrative facility
£900m senior secured term-out refinancing residual 2027 secured notes and £750m 2028 senior notes</x:v>
      </x:c>
      <x:c r="I5" s="85" t="str">
        <x:v>Illustrative facility
£900m senior secured term-out refinancing residual 2027 secured notes and £750m 2028 senior notes</x:v>
      </x:c>
      <x:c r="J5" s="85" t="str">
        <x:v>Illustrative facility
£900m senior secured term-out refinancing residual 2027 secured notes and £750m 2028 senior notes</x:v>
      </x:c>
      <x:c r="K5" s="85" t="str">
        <x:v>Illustrative facility
£900m senior secured term-out refinancing residual 2027 secured notes and £750m 2028 senior notes</x:v>
      </x:c>
      <x:c r="L5" s="85" t="str">
        <x:v>Illustrative facility
£900m senior secured term-out refinancing residual 2027 secured notes and £750m 2028 senior notes</x:v>
      </x:c>
      <x:c r="M5" s="85" t="str">
        <x:v>Illustrative facility
£900m senior secured term-out refinancing residual 2027 secured notes and £750m 2028 senior notes</x:v>
      </x:c>
      <x:c r="N5" s="85" t="str">
        <x:v>Illustrative facility
£900m senior secured term-out refinancing residual 2027 secured notes and £750m 2028 senior notes</x:v>
      </x:c>
      <x:c r="O5" s="85" t="str">
        <x:v>Illustrative facility
£900m senior secured term-out refinancing residual 2027 secured notes and £750m 2028 senior notes</x:v>
      </x:c>
      <x:c r="P5" s="85" t="str">
        <x:v>Illustrative facility
£900m senior secured term-out refinancing residual 2027 secured notes and £750m 2028 senior notes</x:v>
      </x:c>
      <x:c r="Q5" s="85" t="str">
        <x:v>Illustrative facility
£900m senior secured term-out refinancing residual 2027 secured notes and £750m 2028 senior notes</x:v>
      </x:c>
    </x:row>
    <x:row r="6">
      <x:c r="A6" s="81" t="str">
        <x:v>Credit decision
Approve with conditions</x:v>
      </x:c>
      <x:c r="B6" s="81" t="str">
        <x:v>Credit decision
Approve with conditions</x:v>
      </x:c>
      <x:c r="C6" s="81" t="str">
        <x:v>Credit decision
Approve with conditions</x:v>
      </x:c>
      <x:c r="D6" s="81" t="str">
        <x:v>Credit decision
Approve with conditions</x:v>
      </x:c>
      <x:c r="E6" s="81" t="str">
        <x:v>Credit decision
Approve with conditions</x:v>
      </x:c>
      <x:c r="F6" s="81" t="str">
        <x:v>Credit decision
Approve with conditions</x:v>
      </x:c>
      <x:c r="H6" s="85" t="str">
        <x:v>Illustrative facility
£900m senior secured term-out refinancing residual 2027 secured notes and £750m 2028 senior notes</x:v>
      </x:c>
      <x:c r="I6" s="85" t="str">
        <x:v>Illustrative facility
£900m senior secured term-out refinancing residual 2027 secured notes and £750m 2028 senior notes</x:v>
      </x:c>
      <x:c r="J6" s="85" t="str">
        <x:v>Illustrative facility
£900m senior secured term-out refinancing residual 2027 secured notes and £750m 2028 senior notes</x:v>
      </x:c>
      <x:c r="K6" s="85" t="str">
        <x:v>Illustrative facility
£900m senior secured term-out refinancing residual 2027 secured notes and £750m 2028 senior notes</x:v>
      </x:c>
      <x:c r="L6" s="85" t="str">
        <x:v>Illustrative facility
£900m senior secured term-out refinancing residual 2027 secured notes and £750m 2028 senior notes</x:v>
      </x:c>
      <x:c r="M6" s="85" t="str">
        <x:v>Illustrative facility
£900m senior secured term-out refinancing residual 2027 secured notes and £750m 2028 senior notes</x:v>
      </x:c>
      <x:c r="N6" s="85" t="str">
        <x:v>Illustrative facility
£900m senior secured term-out refinancing residual 2027 secured notes and £750m 2028 senior notes</x:v>
      </x:c>
      <x:c r="O6" s="85" t="str">
        <x:v>Illustrative facility
£900m senior secured term-out refinancing residual 2027 secured notes and £750m 2028 senior notes</x:v>
      </x:c>
      <x:c r="P6" s="85" t="str">
        <x:v>Illustrative facility
£900m senior secured term-out refinancing residual 2027 secured notes and £750m 2028 senior notes</x:v>
      </x:c>
      <x:c r="Q6" s="85" t="str">
        <x:v>Illustrative facility
£900m senior secured term-out refinancing residual 2027 secured notes and £750m 2028 senior notes</x:v>
      </x:c>
    </x:row>
    <x:row r="8">
      <x:c r="A8" s="88" t="str">
        <x:v>FY25A REVENUE (£m)</x:v>
      </x:c>
      <x:c r="B8" s="88" t="str">
        <x:v>FY25A REVENUE (£m)</x:v>
      </x:c>
      <x:c r="C8" s="88" t="str">
        <x:v>FY25A REVENUE (£m)</x:v>
      </x:c>
      <x:c r="D8" s="88" t="str">
        <x:v>FY25A REVENUE (£m)</x:v>
      </x:c>
      <x:c r="E8" s="88" t="str">
        <x:v>FY25A EBITDA (£m)</x:v>
      </x:c>
      <x:c r="F8" s="88" t="str">
        <x:v>FY25A EBITDA (£m)</x:v>
      </x:c>
      <x:c r="G8" s="88" t="str">
        <x:v>FY25A EBITDA (£m)</x:v>
      </x:c>
      <x:c r="H8" s="88" t="str">
        <x:v>FY25A EBITDA (£m)</x:v>
      </x:c>
      <x:c r="I8" s="88" t="str">
        <x:v>OPENING GROSS DEBT (£m)</x:v>
      </x:c>
      <x:c r="J8" s="88" t="str">
        <x:v>OPENING GROSS DEBT (£m)</x:v>
      </x:c>
      <x:c r="K8" s="88" t="str">
        <x:v>OPENING GROSS DEBT (£m)</x:v>
      </x:c>
      <x:c r="L8" s="88" t="str">
        <x:v>OPENING GROSS DEBT (£m)</x:v>
      </x:c>
      <x:c r="M8" s="88" t="str">
        <x:v>DOWNSIDE MIN. COVER</x:v>
      </x:c>
      <x:c r="N8" s="88" t="str">
        <x:v>DOWNSIDE MIN. COVER</x:v>
      </x:c>
      <x:c r="O8" s="88" t="str">
        <x:v>DOWNSIDE MIN. COVER</x:v>
      </x:c>
      <x:c r="P8" s="88" t="str">
        <x:v>DOWNSIDE MIN. COVER</x:v>
      </x:c>
      <x:c r="Q8" s="88" t="str">
        <x:v>DOWNSIDE MIN. COVER</x:v>
      </x:c>
    </x:row>
    <x:row r="9">
      <x:c r="A9" s="88" t="str">
        <x:v>FY25A REVENUE (£m)</x:v>
      </x:c>
      <x:c r="B9" s="88" t="str">
        <x:v>FY25A REVENUE (£m)</x:v>
      </x:c>
      <x:c r="C9" s="88" t="str">
        <x:v>FY25A REVENUE (£m)</x:v>
      </x:c>
      <x:c r="D9" s="88" t="str">
        <x:v>FY25A REVENUE (£m)</x:v>
      </x:c>
      <x:c r="E9" s="88" t="str">
        <x:v>FY25A EBITDA (£m)</x:v>
      </x:c>
      <x:c r="F9" s="88" t="str">
        <x:v>FY25A EBITDA (£m)</x:v>
      </x:c>
      <x:c r="G9" s="88" t="str">
        <x:v>FY25A EBITDA (£m)</x:v>
      </x:c>
      <x:c r="H9" s="88" t="str">
        <x:v>FY25A EBITDA (£m)</x:v>
      </x:c>
      <x:c r="I9" s="88" t="str">
        <x:v>OPENING GROSS DEBT (£m)</x:v>
      </x:c>
      <x:c r="J9" s="88" t="str">
        <x:v>OPENING GROSS DEBT (£m)</x:v>
      </x:c>
      <x:c r="K9" s="88" t="str">
        <x:v>OPENING GROSS DEBT (£m)</x:v>
      </x:c>
      <x:c r="L9" s="88" t="str">
        <x:v>OPENING GROSS DEBT (£m)</x:v>
      </x:c>
      <x:c r="M9" s="88" t="str">
        <x:v>DOWNSIDE MIN. COVER</x:v>
      </x:c>
      <x:c r="N9" s="88" t="str">
        <x:v>DOWNSIDE MIN. COVER</x:v>
      </x:c>
      <x:c r="O9" s="88" t="str">
        <x:v>DOWNSIDE MIN. COVER</x:v>
      </x:c>
      <x:c r="P9" s="88" t="str">
        <x:v>DOWNSIDE MIN. COVER</x:v>
      </x:c>
      <x:c r="Q9" s="88" t="str">
        <x:v>DOWNSIDE MIN. COVER</x:v>
      </x:c>
    </x:row>
    <x:row r="10">
      <x:c r="A10" s="272" t="n">
        <x:f>'Historical'!D6</x:f>
        <x:v>15800</x:v>
      </x:c>
      <x:c r="B10" s="92"/>
      <x:c r="C10" s="92"/>
      <x:c r="D10" s="92"/>
      <x:c r="E10" s="272" t="n">
        <x:f>'Historical'!D8</x:f>
        <x:v>835</x:v>
      </x:c>
      <x:c r="F10" s="92"/>
      <x:c r="G10" s="92"/>
      <x:c r="H10" s="92"/>
      <x:c r="I10" s="272" t="n">
        <x:f>'Debt Capacity'!B10</x:f>
        <x:v>3480</x:v>
      </x:c>
      <x:c r="J10" s="92"/>
      <x:c r="K10" s="92"/>
      <x:c r="L10" s="92"/>
      <x:c r="M10" s="273" t="n">
        <x:f>MIN('Downside'!C39:G39)</x:f>
        <x:v>1.9283819628647214</x:v>
      </x:c>
      <x:c r="N10" s="93"/>
      <x:c r="O10" s="93"/>
      <x:c r="P10" s="93"/>
      <x:c r="Q10" s="93"/>
    </x:row>
    <x:row r="11">
      <x:c r="A11" s="92"/>
      <x:c r="B11" s="92"/>
      <x:c r="C11" s="92"/>
      <x:c r="D11" s="92"/>
      <x:c r="E11" s="92"/>
      <x:c r="F11" s="92"/>
      <x:c r="G11" s="92"/>
      <x:c r="H11" s="92"/>
      <x:c r="I11" s="92"/>
      <x:c r="J11" s="92"/>
      <x:c r="K11" s="92"/>
      <x:c r="L11" s="92"/>
      <x:c r="M11" s="93"/>
      <x:c r="N11" s="93"/>
      <x:c r="O11" s="93"/>
      <x:c r="P11" s="93"/>
      <x:c r="Q11" s="93"/>
    </x:row>
    <x:row r="13">
      <x:c r="A13" s="11" t="str">
        <x:v>Credit Rationale</x:v>
      </x:c>
      <x:c r="B13" s="11" t="str">
        <x:v>Credit Rationale</x:v>
      </x:c>
      <x:c r="C13" s="11" t="str">
        <x:v>Credit Rationale</x:v>
      </x:c>
      <x:c r="D13" s="11" t="str">
        <x:v>Credit Rationale</x:v>
      </x:c>
      <x:c r="E13" s="11" t="str">
        <x:v>Credit Rationale</x:v>
      </x:c>
      <x:c r="F13" s="11" t="str">
        <x:v>Credit Rationale</x:v>
      </x:c>
    </x:row>
    <x:row r="14">
      <x:c r="A14" s="289" t="str">
        <x:f>"STRENGTHS"&amp;CHAR(10)&amp;"• Essential grocery demand and £15.8bn revenue scale"&amp;CHAR(10)&amp;"• FY25 EBITDA held at £835m despite material cost headwinds"&amp;CHAR(10)&amp;"• £2.7bn gross debt reduction since acquisition"&amp;CHAR(10)&amp;CHAR(10)&amp;"CONSTRAINTS"&amp;CHAR(10)&amp;"• Thin cash generation after interest, capex and leases; RCF fees excluded"&amp;CHAR(10)&amp;"• FY30 liquidity requires RCF replacement before Aug-2030"&amp;CHAR(10)&amp;"• Base Nov-2030 / Jan-2031 maturities: £"&amp;TEXT('Base Case'!G41/1000,"0.00")&amp;"bn"&amp;CHAR(10)&amp;"• Downside minimum interest cover: "&amp;TEXT(MIN(Downside!C39:G39),"0.00")&amp;"x"&amp;CHAR(10)&amp;"• FY26 is a full-year pro forma case; no actual closing stub"</x:f>
        <x:v>STRENGTHS
• Essential grocery demand and £15.8bn revenue scale
• FY25 EBITDA held at £835m despite material cost headwinds
• £2.7bn gross debt reduction since acquisition
CONSTRAINTS
• Thin cash generation after interest, capex and leases; RCF fees excluded
• FY30 liquidity requires RCF replacement before Aug-2030
• Base Nov-2030 / Jan-2031 maturities: £2.50bn
• Downside minimum interest cover: 1.93x
• FY26 is a full-year pro forma case; no actual closing stub</x:v>
      </x:c>
      <x:c r="B14"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C14"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D14"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E14"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F14"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row>
    <x:row r="15">
      <x:c r="A15"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B15"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C15"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D15"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E15"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F15"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row>
    <x:row r="16">
      <x:c r="A16"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B16"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C16"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D16"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E16"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F16"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row>
    <x:row r="17">
      <x:c r="A17"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B17"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C17"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D17"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E17"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F17"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row>
    <x:row r="18">
      <x:c r="A18"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B18"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C18"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D18"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E18"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F18"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row>
    <x:row r="19">
      <x:c r="A19"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B19"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C19"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D19"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E19"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F19"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row>
    <x:row r="20">
      <x:c r="A20"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B20"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C20"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D20"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E20"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F20"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row>
    <x:row r="21">
      <x:c r="A21"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B21"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C21"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D21"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E21"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F21"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row>
    <x:row r="22">
      <x:c r="A22"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B22"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C22"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D22"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E22"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F22"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row>
    <x:row r="23">
      <x:c r="A23"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B23"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C23"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D23"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E23"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F23"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row>
    <x:row r="24">
      <x:c r="A24"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B24"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C24"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D24"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E24"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c r="F24" s="96" t="str">
        <x:v>STRENGTHS
• Essential, non-discretionary grocery demand and £15.8bn revenue scale
• FY25A EBITDA held at £835m despite material cost headwinds
• £2.7bn gross debt reduction since acquisition; 2030–31 maturity profile improved
• £1.0bn committed RCF provides a meaningful liquidity backstop
CONSTRAINTS
• Core cash conversion remains thin after interest, capex and lease payments
• High fixed-charge burden; downside interest cover falls toward 1.9x
• Competitive pricing and wage / regulatory inflation can compress margins quickly
• Debt service capacity depends on continued execution of cost savings</x:v>
      </x:c>
    </x:row>
    <x:row r="26">
      <x:c r="A26" s="11" t="str">
        <x:v>Required Protections</x:v>
      </x:c>
      <x:c r="B26" s="11" t="str">
        <x:v>Required Protections</x:v>
      </x:c>
      <x:c r="C26" s="11" t="str">
        <x:v>Required Protections</x:v>
      </x:c>
      <x:c r="D26" s="11" t="str">
        <x:v>Required Protections</x:v>
      </x:c>
      <x:c r="E26" s="11" t="str">
        <x:v>Required Protections</x:v>
      </x:c>
      <x:c r="F26" s="11" t="str">
        <x:v>Required Protections</x:v>
      </x:c>
    </x:row>
    <x:row r="27">
      <x:c r="A27" s="289" t="str">
        <x:f>"• "&amp;TEXT(Assumptions!B19,"0%")&amp;" annual proposed-facility amortisation"&amp;CHAR(10)&amp;"• Surplus-cash sweep to proposed term-out: "&amp;TEXT(Assumptions!B20,"0%")&amp;" / "&amp;TEXT(Assumptions!E20,"0%")&amp;" / 0%"&amp;CHAR(10)&amp;"• Extend / replace RCF by Aug-2029; minimum £"&amp;TEXT(Assumptions!B9,"#,##0")&amp;"m cash and £500m liquidity"&amp;CHAR(10)&amp;"• Plan for Nov-2030 term loans and Jan-2031 notes by Aug-2029"&amp;CHAR(10)&amp;"• Proposed 5.25x first-lien test when RCF &gt;40% drawn"&amp;CHAR(10)&amp;"• Restricted payments blocked above 3.50x leverage / below £500m liquidity"&amp;CHAR(10)&amp;"• Guarantors to represent at least 80% of consolidated EBITDA"</x:f>
        <x:v>• 1% annual proposed-facility amortisation
• Surplus-cash sweep to proposed term-out: 50% / 25% / 0%
• Extend / replace RCF by Aug-2029; minimum £300m cash and £500m liquidity
• Plan for Nov-2030 term loans and Jan-2031 notes by Aug-2029
• Proposed 5.25x first-lien test when RCF &gt;40% drawn
• Restricted payments blocked above 3.50x leverage / below £500m liquidity
• Guarantors to represent at least 80% of consolidated EBITDA</x:v>
      </x:c>
      <x:c r="B27"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C27"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D27"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E27"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F27"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row>
    <x:row r="28">
      <x:c r="A28"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B28"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C28"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D28"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E28"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F28"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row>
    <x:row r="29">
      <x:c r="A29"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B29"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C29"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D29"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E29"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F29"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row>
    <x:row r="30">
      <x:c r="A30"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B30"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C30"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D30"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E30"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F30"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row>
    <x:row r="31">
      <x:c r="A31"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B31"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C31"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D31"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E31"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F31"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row>
    <x:row r="32">
      <x:c r="A32"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B32"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C32"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D32"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E32"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F32"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row>
    <x:row r="33">
      <x:c r="A33" s="96" t="str">
        <x:v>Lender conclusion: approve with conditions. The transaction removes the 2027-28 maturity concentration, but approval depends on the RCF extension and a credible plan for the Nov-2030 / Jan-2031 refinancing wall.</x:v>
      </x:c>
      <x:c r="B33"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C33"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D33"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E33"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F33"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row>
    <x:row r="34">
      <x:c r="A34"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B34"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C34"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D34"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E34"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F34"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row>
    <x:row r="35">
      <x:c r="A35"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B35"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C35"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D35"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E35"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F35"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row>
    <x:row r="36">
      <x:c r="A36"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B36"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C36"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D36"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E36"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F36"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row>
    <x:row r="37">
      <x:c r="A37"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B37"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C37"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D37"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E37"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c r="F37" s="96" t="str">
        <x:v>• 1% annual mandatory amortisation
• 50% excess cash flow sweep above 3.25x net leverage; 25% between 3.25x and 2.75x; 0% below 2.75x
• Minimum £300m cash and £500m total liquidity
• 5.25x first-lien net leverage springing covenant when RCF &gt;40% drawn
• Restricted payments blocked above 3.50x total net leverage
• Guarantors to represent at least 80% of consolidated EBITDA
• No structurally senior debt or material asset disposals without lender protection
Lender conclusion: the maturity extension is credit-positive, but acceptable only if cash leakage is tightly controlled and deleveraging is contractually prioritised.</x:v>
      </x:c>
    </x:row>
    <x:row r="39">
      <x:c r="A39" s="100" t="str">
        <x:v>Disclaimer: independent educational analysis based solely on public information. Not investment advice, a credit commitment, an offer to lend, or Morrisons guidance. Forecasts and proposed terms are illustrative assumptions.</x:v>
      </x:c>
      <x:c r="B39" s="100" t="str">
        <x:v>Disclaimer: independent educational analysis based solely on public information. Not investment advice, a credit commitment, an offer to lend, or Morrisons guidance. Forecasts and proposed terms are illustrative assumptions.</x:v>
      </x:c>
      <x:c r="C39" s="100" t="str">
        <x:v>Disclaimer: independent educational analysis based solely on public information. Not investment advice, a credit commitment, an offer to lend, or Morrisons guidance. Forecasts and proposed terms are illustrative assumptions.</x:v>
      </x:c>
      <x:c r="D39" s="100" t="str">
        <x:v>Disclaimer: independent educational analysis based solely on public information. Not investment advice, a credit commitment, an offer to lend, or Morrisons guidance. Forecasts and proposed terms are illustrative assumptions.</x:v>
      </x:c>
      <x:c r="E39" s="100" t="str">
        <x:v>Disclaimer: independent educational analysis based solely on public information. Not investment advice, a credit commitment, an offer to lend, or Morrisons guidance. Forecasts and proposed terms are illustrative assumptions.</x:v>
      </x:c>
      <x:c r="F39" s="100" t="str">
        <x:v>Disclaimer: independent educational analysis based solely on public information. Not investment advice, a credit commitment, an offer to lend, or Morrisons guidance. Forecasts and proposed terms are illustrative assumptions.</x:v>
      </x:c>
      <x:c r="G39" s="100" t="str">
        <x:v>Disclaimer: independent educational analysis based solely on public information. Not investment advice, a credit commitment, an offer to lend, or Morrisons guidance. Forecasts and proposed terms are illustrative assumptions.</x:v>
      </x:c>
      <x:c r="H39" s="100" t="str">
        <x:v>Disclaimer: independent educational analysis based solely on public information. Not investment advice, a credit commitment, an offer to lend, or Morrisons guidance. Forecasts and proposed terms are illustrative assumptions.</x:v>
      </x:c>
      <x:c r="I39" s="100" t="str">
        <x:v>Disclaimer: independent educational analysis based solely on public information. Not investment advice, a credit commitment, an offer to lend, or Morrisons guidance. Forecasts and proposed terms are illustrative assumptions.</x:v>
      </x:c>
      <x:c r="J39" s="100" t="str">
        <x:v>Disclaimer: independent educational analysis based solely on public information. Not investment advice, a credit commitment, an offer to lend, or Morrisons guidance. Forecasts and proposed terms are illustrative assumptions.</x:v>
      </x:c>
      <x:c r="K39" s="100" t="str">
        <x:v>Disclaimer: independent educational analysis based solely on public information. Not investment advice, a credit commitment, an offer to lend, or Morrisons guidance. Forecasts and proposed terms are illustrative assumptions.</x:v>
      </x:c>
      <x:c r="L39" s="100" t="str">
        <x:v>Disclaimer: independent educational analysis based solely on public information. Not investment advice, a credit commitment, an offer to lend, or Morrisons guidance. Forecasts and proposed terms are illustrative assumptions.</x:v>
      </x:c>
      <x:c r="M39" s="100" t="str">
        <x:v>Disclaimer: independent educational analysis based solely on public information. Not investment advice, a credit commitment, an offer to lend, or Morrisons guidance. Forecasts and proposed terms are illustrative assumptions.</x:v>
      </x:c>
      <x:c r="N39" s="100" t="str">
        <x:v>Disclaimer: independent educational analysis based solely on public information. Not investment advice, a credit commitment, an offer to lend, or Morrisons guidance. Forecasts and proposed terms are illustrative assumptions.</x:v>
      </x:c>
      <x:c r="O39" s="100" t="str">
        <x:v>Disclaimer: independent educational analysis based solely on public information. Not investment advice, a credit commitment, an offer to lend, or Morrisons guidance. Forecasts and proposed terms are illustrative assumptions.</x:v>
      </x:c>
      <x:c r="P39" s="100" t="str">
        <x:v>Disclaimer: independent educational analysis based solely on public information. Not investment advice, a credit commitment, an offer to lend, or Morrisons guidance. Forecasts and proposed terms are illustrative assumptions.</x:v>
      </x:c>
      <x:c r="Q39" s="100" t="str">
        <x:v>Disclaimer: independent educational analysis based solely on public information. Not investment advice, a credit commitment, an offer to lend, or Morrisons guidance. Forecasts and proposed terms are illustrative assumptions.</x:v>
      </x:c>
    </x:row>
    <x:row r="40">
      <x:c r="A40" s="100" t="str">
        <x:v>Disclaimer: independent educational analysis based solely on public information. Not investment advice, a credit commitment, an offer to lend, or Morrisons guidance. Forecasts and proposed terms are illustrative assumptions.</x:v>
      </x:c>
      <x:c r="B40" s="100" t="str">
        <x:v>Disclaimer: independent educational analysis based solely on public information. Not investment advice, a credit commitment, an offer to lend, or Morrisons guidance. Forecasts and proposed terms are illustrative assumptions.</x:v>
      </x:c>
      <x:c r="C40" s="100" t="str">
        <x:v>Disclaimer: independent educational analysis based solely on public information. Not investment advice, a credit commitment, an offer to lend, or Morrisons guidance. Forecasts and proposed terms are illustrative assumptions.</x:v>
      </x:c>
      <x:c r="D40" s="100" t="str">
        <x:v>Disclaimer: independent educational analysis based solely on public information. Not investment advice, a credit commitment, an offer to lend, or Morrisons guidance. Forecasts and proposed terms are illustrative assumptions.</x:v>
      </x:c>
      <x:c r="E40" s="100" t="str">
        <x:v>Disclaimer: independent educational analysis based solely on public information. Not investment advice, a credit commitment, an offer to lend, or Morrisons guidance. Forecasts and proposed terms are illustrative assumptions.</x:v>
      </x:c>
      <x:c r="F40" s="100" t="str">
        <x:v>Disclaimer: independent educational analysis based solely on public information. Not investment advice, a credit commitment, an offer to lend, or Morrisons guidance. Forecasts and proposed terms are illustrative assumptions.</x:v>
      </x:c>
      <x:c r="G40" s="100" t="str">
        <x:v>Disclaimer: independent educational analysis based solely on public information. Not investment advice, a credit commitment, an offer to lend, or Morrisons guidance. Forecasts and proposed terms are illustrative assumptions.</x:v>
      </x:c>
      <x:c r="H40" s="100" t="str">
        <x:v>Disclaimer: independent educational analysis based solely on public information. Not investment advice, a credit commitment, an offer to lend, or Morrisons guidance. Forecasts and proposed terms are illustrative assumptions.</x:v>
      </x:c>
      <x:c r="I40" s="100" t="str">
        <x:v>Disclaimer: independent educational analysis based solely on public information. Not investment advice, a credit commitment, an offer to lend, or Morrisons guidance. Forecasts and proposed terms are illustrative assumptions.</x:v>
      </x:c>
      <x:c r="J40" s="100" t="str">
        <x:v>Disclaimer: independent educational analysis based solely on public information. Not investment advice, a credit commitment, an offer to lend, or Morrisons guidance. Forecasts and proposed terms are illustrative assumptions.</x:v>
      </x:c>
      <x:c r="K40" s="100" t="str">
        <x:v>Disclaimer: independent educational analysis based solely on public information. Not investment advice, a credit commitment, an offer to lend, or Morrisons guidance. Forecasts and proposed terms are illustrative assumptions.</x:v>
      </x:c>
      <x:c r="L40" s="100" t="str">
        <x:v>Disclaimer: independent educational analysis based solely on public information. Not investment advice, a credit commitment, an offer to lend, or Morrisons guidance. Forecasts and proposed terms are illustrative assumptions.</x:v>
      </x:c>
      <x:c r="M40" s="100" t="str">
        <x:v>Disclaimer: independent educational analysis based solely on public information. Not investment advice, a credit commitment, an offer to lend, or Morrisons guidance. Forecasts and proposed terms are illustrative assumptions.</x:v>
      </x:c>
      <x:c r="N40" s="100" t="str">
        <x:v>Disclaimer: independent educational analysis based solely on public information. Not investment advice, a credit commitment, an offer to lend, or Morrisons guidance. Forecasts and proposed terms are illustrative assumptions.</x:v>
      </x:c>
      <x:c r="O40" s="100" t="str">
        <x:v>Disclaimer: independent educational analysis based solely on public information. Not investment advice, a credit commitment, an offer to lend, or Morrisons guidance. Forecasts and proposed terms are illustrative assumptions.</x:v>
      </x:c>
      <x:c r="P40" s="100" t="str">
        <x:v>Disclaimer: independent educational analysis based solely on public information. Not investment advice, a credit commitment, an offer to lend, or Morrisons guidance. Forecasts and proposed terms are illustrative assumptions.</x:v>
      </x:c>
      <x:c r="Q40" s="100" t="str">
        <x:v>Disclaimer: independent educational analysis based solely on public information. Not investment advice, a credit commitment, an offer to lend, or Morrisons guidance. Forecasts and proposed terms are illustrative assumptions.</x:v>
      </x:c>
    </x:row>
  </x:sheetData>
  <x:mergeCells>
    <x:mergeCell ref="A2:Q2"/>
    <x:mergeCell ref="A4:F6"/>
    <x:mergeCell ref="H4:Q6"/>
    <x:mergeCell ref="A8:D9"/>
    <x:mergeCell ref="A10:D11"/>
    <x:mergeCell ref="E8:H9"/>
    <x:mergeCell ref="E10:H11"/>
    <x:mergeCell ref="I8:L9"/>
    <x:mergeCell ref="I10:L11"/>
    <x:mergeCell ref="M8:Q9"/>
    <x:mergeCell ref="M10:Q11"/>
    <x:mergeCell ref="A13:F13"/>
    <x:mergeCell ref="A14:F24"/>
    <x:mergeCell ref="A26:F26"/>
    <x:mergeCell ref="A27:F37"/>
    <x:mergeCell ref="A39:Q40"/>
  </x:mergeCells>
  <x:pageMargins left="0.7" right="0.7" top="0.75" bottom="0.75" header="0.3" footer="0.3"/>
  <x:drawing xmlns:r="http://schemas.openxmlformats.org/officeDocument/2006/relationships" r:id="R7bb13cd8d6534401"/>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24" hidden="0" customWidth="1"/>
    <x:col min="3" max="3" width="14" hidden="0" customWidth="1"/>
    <x:col min="4" max="4" width="29" hidden="0" customWidth="1"/>
    <x:col min="5" max="5" width="28" hidden="0" customWidth="1"/>
    <x:col min="6" max="6" width="14" hidden="0" customWidth="1"/>
    <x:col min="7" max="7" width="31" hidden="0" customWidth="1"/>
    <x:col min="8" max="8" width="12" hidden="0" customWidth="1"/>
  </x:cols>
  <x:sheetData>
    <x:row r="1" ht="27" customHeight="1">
      <x:c r="A1" s="5" t="str">
        <x:v>Morrisons underwriting assumptions</x:v>
      </x:c>
      <x:c r="B1" s="5"/>
      <x:c r="C1" s="5"/>
      <x:c r="D1" s="5"/>
      <x:c r="E1" s="5"/>
      <x:c r="F1" s="5"/>
      <x:c r="G1" s="5"/>
      <x:c r="H1" s="5"/>
    </x:row>
    <x:row r="2" ht="20" customHeight="1">
      <x:c r="A2" s="101" t="str">
        <x:v>Blue = illustrative input; green = public/historical input; black = formula. Labels and sources govern classification. £m.</x:v>
      </x:c>
      <x:c r="B2" s="101" t="str">
        <x:v>Blue font = model input; green font = linked public data; black font = formula. £m unless stated.</x:v>
      </x:c>
      <x:c r="C2" s="101" t="str">
        <x:v>Blue font = model input; green font = linked public data; black font = formula. £m unless stated.</x:v>
      </x:c>
      <x:c r="D2" s="101" t="str">
        <x:v>Blue font = model input; green font = linked public data; black font = formula. £m unless stated.</x:v>
      </x:c>
      <x:c r="E2" s="101" t="str">
        <x:v>Blue font = model input; green font = linked public data; black font = formula. £m unless stated.</x:v>
      </x:c>
      <x:c r="F2" s="101" t="str">
        <x:v>Blue font = model input; green font = linked public data; black font = formula. £m unless stated.</x:v>
      </x:c>
      <x:c r="G2" s="101" t="str">
        <x:v>Blue font = model input; green font = linked public data; black font = formula. £m unless stated.</x:v>
      </x:c>
      <x:c r="H2" s="101" t="str">
        <x:v>Blue font = model input; green font = linked public data; black font = formula. £m unless stated.</x:v>
      </x:c>
    </x:row>
    <x:row r="3">
      <x:c r="A3" s="102"/>
      <x:c r="B3" s="102"/>
      <x:c r="C3" s="102"/>
      <x:c r="D3" s="102"/>
      <x:c r="E3" s="102"/>
      <x:c r="F3" s="102"/>
      <x:c r="G3" s="102"/>
      <x:c r="H3" s="102"/>
    </x:row>
    <x:row r="4">
      <x:c r="A4" s="11" t="str">
        <x:v>Transaction &amp; Capital Structure</x:v>
      </x:c>
      <x:c r="B4" s="11" t="str">
        <x:v>Transaction &amp; Capital Structure</x:v>
      </x:c>
      <x:c r="C4" s="11" t="str">
        <x:v>Transaction &amp; Capital Structure</x:v>
      </x:c>
      <x:c r="D4" s="11" t="str">
        <x:v>Transaction &amp; Capital Structure</x:v>
      </x:c>
      <x:c r="E4" s="11" t="str">
        <x:v>Transaction &amp; Capital Structure</x:v>
      </x:c>
      <x:c r="F4" s="11" t="str">
        <x:v>Transaction &amp; Capital Structure</x:v>
      </x:c>
      <x:c r="G4" s="11" t="str">
        <x:v>Transaction &amp; Capital Structure</x:v>
      </x:c>
      <x:c r="H4" s="11" t="str">
        <x:v>Transaction &amp; Capital Structure</x:v>
      </x:c>
    </x:row>
    <x:row r="5">
      <x:c r="A5" s="102"/>
      <x:c r="B5" s="102"/>
      <x:c r="C5" s="102"/>
      <x:c r="D5" s="102"/>
      <x:c r="E5" s="102"/>
      <x:c r="F5" s="102"/>
      <x:c r="G5" s="102"/>
      <x:c r="H5" s="102"/>
    </x:row>
    <x:row r="6">
      <x:c r="A6" s="103" t="str">
        <x:v>Analysis date</x:v>
      </x:c>
      <x:c r="B6" s="104" t="str">
        <x:v>Jul-2026</x:v>
      </x:c>
      <x:c r="C6" s="102"/>
      <x:c r="D6" s="209" t="str">
        <x:v>GBP per EUR (assumed)</x:v>
      </x:c>
      <x:c r="E6" s="293" t="n">
        <x:v>0.86</x:v>
      </x:c>
      <x:c r="F6" s="209" t="str">
        <x:v>Debt takeout</x:v>
      </x:c>
      <x:c r="G6" s="274" t="n">
        <x:f>ROUND(E8+(E9*E6)+E10,1)</x:f>
        <x:v>895.8</x:v>
      </x:c>
      <x:c r="H6" s="102"/>
    </x:row>
    <x:row r="7" ht="30" customHeight="1">
      <x:c r="A7" s="103" t="str">
        <x:v>Transaction</x:v>
      </x:c>
      <x:c r="B7" s="286" t="str">
        <x:f>"£"&amp;TEXT(B17,"#,##0")&amp;"m term-out; £"&amp;TEXT(G7,"#,##0.0")&amp;"m proceeds"</x:f>
        <x:v>£900m term-out; £891.0m proceeds</x:v>
      </x:c>
      <x:c r="C7" s="102"/>
      <x:c r="D7" s="209" t="str">
        <x:v>Original issue price</x:v>
      </x:c>
      <x:c r="E7" s="293" t="n">
        <x:v>0.99</x:v>
      </x:c>
      <x:c r="F7" s="209" t="str">
        <x:v>Net proceeds</x:v>
      </x:c>
      <x:c r="G7" s="274" t="n">
        <x:f>ROUND(B17*E7,1)</x:f>
        <x:v>891</x:v>
      </x:c>
      <x:c r="H7" s="102"/>
    </x:row>
    <x:row r="8">
      <x:c r="A8" s="103" t="str">
        <x:v>Cash before closing (assumed)</x:v>
      </x:c>
      <x:c r="B8" s="105" t="n">
        <x:v>350</x:v>
      </x:c>
      <x:c r="C8" s="102"/>
      <x:c r="D8" s="209" t="str">
        <x:v>2027 GBP notes (£m)</x:v>
      </x:c>
      <x:c r="E8" s="290" t="n">
        <x:v>20.533</x:v>
      </x:c>
      <x:c r="F8" s="209" t="str">
        <x:v>Cash funding / (surplus) before fees</x:v>
      </x:c>
      <x:c r="G8" s="274" t="n">
        <x:f>ROUND(G6-G7,1)</x:f>
        <x:v>4.8</x:v>
      </x:c>
      <x:c r="H8" s="102"/>
    </x:row>
    <x:row r="9">
      <x:c r="A9" s="103" t="str">
        <x:v>Minimum cash</x:v>
      </x:c>
      <x:c r="B9" s="105" t="n">
        <x:v>300</x:v>
      </x:c>
      <x:c r="C9" s="102"/>
      <x:c r="D9" s="209" t="str">
        <x:v>2027 EUR notes (€m)</x:v>
      </x:c>
      <x:c r="E9" s="290" t="n">
        <x:v>145.696</x:v>
      </x:c>
      <x:c r="F9" s="209" t="str">
        <x:v>Net cash use / (release) at closing</x:v>
      </x:c>
      <x:c r="G9" s="212" t="n">
        <x:f>ROUND(G8+G10,1)</x:f>
        <x:v>9.8</x:v>
      </x:c>
      <x:c r="H9" s="102"/>
    </x:row>
    <x:row r="10">
      <x:c r="A10" s="103" t="str">
        <x:v>RCF commitment</x:v>
      </x:c>
      <x:c r="B10" s="291" t="n">
        <x:v>1000</x:v>
      </x:c>
      <x:c r="C10" s="102"/>
      <x:c r="D10" s="209" t="str">
        <x:v>2028 notes (£m; source 9)</x:v>
      </x:c>
      <x:c r="E10" s="290" t="n">
        <x:v>750</x:v>
      </x:c>
      <x:c r="F10" s="209" t="str">
        <x:v>Other transaction fees (illustrative)</x:v>
      </x:c>
      <x:c r="G10" s="267" t="n">
        <x:v>5</x:v>
      </x:c>
      <x:c r="H10" s="102"/>
    </x:row>
    <x:row r="11">
      <x:c r="A11" s="103" t="str">
        <x:v>RCF drawn-balance rate (assumed)</x:v>
      </x:c>
      <x:c r="B11" s="268" t="n">
        <x:v>0.075</x:v>
      </x:c>
      <x:c r="C11" s="102"/>
      <x:c r="D11" s="209" t="str">
        <x:v>Opening cash after closing</x:v>
      </x:c>
      <x:c r="E11" s="275" t="n">
        <x:f>ROUND(B8-G9,1)</x:f>
        <x:v>340.2</x:v>
      </x:c>
      <x:c r="F11" s="209"/>
      <x:c r="G11" s="140"/>
      <x:c r="H11" s="102"/>
    </x:row>
    <x:row r="12" ht="26" customHeight="1">
      <x:c r="A12" s="103" t="str">
        <x:v>Existing term loans (2030)</x:v>
      </x:c>
      <x:c r="B12" s="105" t="n">
        <x:v>1650</x:v>
      </x:c>
      <x:c r="C12" s="102"/>
      <x:c r="D12" s="209" t="str">
        <x:v>RCF legal maturity</x:v>
      </x:c>
      <x:c r="E12" s="213" t="str">
        <x:v>Aug-2030</x:v>
      </x:c>
      <x:c r="F12" s="209" t="str">
        <x:v>Cash sweep applies to</x:v>
      </x:c>
      <x:c r="G12" s="210" t="str">
        <x:v>Proposed term-out; capped at balance</x:v>
      </x:c>
      <x:c r="H12" s="102"/>
    </x:row>
    <x:row r="13" ht="26" customHeight="1">
      <x:c r="A13" s="103" t="str">
        <x:v>Term loan assumed all-in rate</x:v>
      </x:c>
      <x:c r="B13" s="268" t="n">
        <x:v>0.075</x:v>
      </x:c>
      <x:c r="C13" s="102"/>
      <x:c r="D13" s="209" t="str">
        <x:v>FY30 RCF treatment</x:v>
      </x:c>
      <x:c r="E13" s="292" t="str">
        <x:v>Extension / replacement assumed</x:v>
      </x:c>
      <x:c r="F13" s="209" t="str">
        <x:v>Springing maturity</x:v>
      </x:c>
      <x:c r="G13" s="210" t="str">
        <x:v>Customary mechanics apply</x:v>
      </x:c>
      <x:c r="H13" s="102"/>
    </x:row>
    <x:row r="14" ht="26" customHeight="1">
      <x:c r="A14" s="103" t="str">
        <x:v>Term loan annual amortisation</x:v>
      </x:c>
      <x:c r="B14" s="106" t="n">
        <x:v>0.01</x:v>
      </x:c>
      <x:c r="C14" s="102"/>
      <x:c r="D14" s="209" t="str">
        <x:v>Required action date</x:v>
      </x:c>
      <x:c r="E14" s="292" t="str">
        <x:v>By Aug-2029</x:v>
      </x:c>
      <x:c r="F14" s="209" t="str">
        <x:v>2030-31 refinancing plan</x:v>
      </x:c>
      <x:c r="G14" s="210" t="str">
        <x:v>Required for term loans and notes</x:v>
      </x:c>
      <x:c r="H14" s="102"/>
    </x:row>
    <x:row r="15">
      <x:c r="A15" s="103" t="str">
        <x:v>2031 senior secured notes</x:v>
      </x:c>
      <x:c r="B15" s="105" t="n">
        <x:v>930</x:v>
      </x:c>
      <x:c r="C15" s="102"/>
      <x:c r="D15" s="102"/>
      <x:c r="E15" s="102"/>
      <x:c r="F15" s="102"/>
      <x:c r="G15" s="102"/>
      <x:c r="H15" s="102"/>
    </x:row>
    <x:row r="16">
      <x:c r="A16" s="103" t="str">
        <x:v>Weighted notes coupon</x:v>
      </x:c>
      <x:c r="B16" s="268" t="n">
        <x:v>0.0782</x:v>
      </x:c>
      <x:c r="C16" s="102"/>
      <x:c r="D16" s="102"/>
      <x:c r="E16" s="102"/>
      <x:c r="F16" s="102"/>
      <x:c r="G16" s="102"/>
      <x:c r="H16" s="102"/>
    </x:row>
    <x:row r="17">
      <x:c r="A17" s="103" t="str">
        <x:v>Proposed refinancing facility</x:v>
      </x:c>
      <x:c r="B17" s="105" t="n">
        <x:v>900</x:v>
      </x:c>
      <x:c r="C17" s="102"/>
      <x:c r="D17" s="102"/>
      <x:c r="E17" s="102"/>
      <x:c r="F17" s="102"/>
      <x:c r="G17" s="102"/>
      <x:c r="H17" s="102"/>
    </x:row>
    <x:row r="18">
      <x:c r="A18" s="103" t="str">
        <x:v>Proposed facility all-in rate</x:v>
      </x:c>
      <x:c r="B18" s="268" t="n">
        <x:v>0.0825</x:v>
      </x:c>
      <x:c r="C18" s="102"/>
      <x:c r="D18" s="102"/>
      <x:c r="E18" s="102"/>
      <x:c r="F18" s="102"/>
      <x:c r="G18" s="102"/>
      <x:c r="H18" s="102"/>
    </x:row>
    <x:row r="19">
      <x:c r="A19" s="103" t="str">
        <x:v>Proposed facility annual amortisation</x:v>
      </x:c>
      <x:c r="B19" s="106" t="n">
        <x:v>0.01</x:v>
      </x:c>
      <x:c r="C19" s="102"/>
      <x:c r="D19" s="102"/>
      <x:c r="E19" s="102"/>
      <x:c r="F19" s="102"/>
      <x:c r="G19" s="102"/>
      <x:c r="H19" s="102"/>
    </x:row>
    <x:row r="20">
      <x:c r="A20" s="103" t="str">
        <x:v>Surplus-cash sweep</x:v>
      </x:c>
      <x:c r="B20" s="106" t="n">
        <x:v>0.5</x:v>
      </x:c>
      <x:c r="C20" s="102"/>
      <x:c r="D20" s="103" t="str">
        <x:v>Step-down cash sweep</x:v>
      </x:c>
      <x:c r="E20" s="106" t="n">
        <x:v>0.25</x:v>
      </x:c>
      <x:c r="F20" s="102"/>
      <x:c r="G20" s="102"/>
      <x:c r="H20" s="102"/>
    </x:row>
    <x:row r="21">
      <x:c r="A21" s="103" t="str">
        <x:v>Lease interest (FY26E)</x:v>
      </x:c>
      <x:c r="B21" s="105" t="n">
        <x:v>105</x:v>
      </x:c>
      <x:c r="C21" s="102"/>
      <x:c r="D21" s="103" t="str">
        <x:v>First step-down leverage</x:v>
      </x:c>
      <x:c r="E21" s="107" t="n">
        <x:v>3.25</x:v>
      </x:c>
      <x:c r="F21" s="102"/>
      <x:c r="G21" s="102"/>
      <x:c r="H21" s="102"/>
    </x:row>
    <x:row r="22">
      <x:c r="A22" s="103" t="str">
        <x:v>Lease interest annual growth</x:v>
      </x:c>
      <x:c r="B22" s="106" t="n">
        <x:v>0.02</x:v>
      </x:c>
      <x:c r="C22" s="102"/>
      <x:c r="D22" s="103" t="str">
        <x:v>Second step-down leverage</x:v>
      </x:c>
      <x:c r="E22" s="107" t="n">
        <x:v>2.75</x:v>
      </x:c>
      <x:c r="F22" s="102"/>
      <x:c r="G22" s="102"/>
      <x:c r="H22" s="102"/>
    </x:row>
    <x:row r="23">
      <x:c r="A23" s="102"/>
      <x:c r="B23" s="102"/>
      <x:c r="C23" s="102"/>
      <x:c r="D23" s="102"/>
      <x:c r="E23" s="102"/>
      <x:c r="F23" s="102"/>
      <x:c r="G23" s="102"/>
      <x:c r="H23" s="102"/>
    </x:row>
    <x:row r="24">
      <x:c r="A24" s="102"/>
      <x:c r="B24" s="102"/>
      <x:c r="C24" s="102"/>
      <x:c r="D24" s="102"/>
      <x:c r="E24" s="102"/>
      <x:c r="F24" s="102"/>
      <x:c r="G24" s="102"/>
      <x:c r="H24" s="102"/>
    </x:row>
    <x:row r="25">
      <x:c r="A25" s="11" t="str">
        <x:v>Base Case Operating Assumptions</x:v>
      </x:c>
      <x:c r="B25" s="11" t="str">
        <x:v>Base Case Operating Assumptions</x:v>
      </x:c>
      <x:c r="C25" s="11" t="str">
        <x:v>Base Case Operating Assumptions</x:v>
      </x:c>
      <x:c r="D25" s="11" t="str">
        <x:v>Base Case Operating Assumptions</x:v>
      </x:c>
      <x:c r="E25" s="11" t="str">
        <x:v>Base Case Operating Assumptions</x:v>
      </x:c>
      <x:c r="F25" s="11" t="str">
        <x:v>Base Case Operating Assumptions</x:v>
      </x:c>
      <x:c r="G25" s="11" t="str">
        <x:v>Base Case Operating Assumptions</x:v>
      </x:c>
      <x:c r="H25" s="11" t="str">
        <x:v>Base Case Operating Assumptions</x:v>
      </x:c>
    </x:row>
    <x:row r="26">
      <x:c r="A26" s="108" t="str">
        <x:v>Metric</x:v>
      </x:c>
      <x:c r="B26" s="108" t="str">
        <x:v>2026E</x:v>
      </x:c>
      <x:c r="C26" s="108" t="str">
        <x:v>2027E</x:v>
      </x:c>
      <x:c r="D26" s="108" t="str">
        <x:v>2028E</x:v>
      </x:c>
      <x:c r="E26" s="108" t="str">
        <x:v>2029E</x:v>
      </x:c>
      <x:c r="F26" s="108" t="str">
        <x:v>2030E</x:v>
      </x:c>
      <x:c r="G26" s="102"/>
      <x:c r="H26" s="102"/>
    </x:row>
    <x:row r="27">
      <x:c r="A27" s="102" t="str">
        <x:v>Revenue growth</x:v>
      </x:c>
      <x:c r="B27" s="106" t="n">
        <x:v>0.027</x:v>
      </x:c>
      <x:c r="C27" s="106" t="n">
        <x:v>0.025</x:v>
      </x:c>
      <x:c r="D27" s="106" t="n">
        <x:v>0.023</x:v>
      </x:c>
      <x:c r="E27" s="106" t="n">
        <x:v>0.02</x:v>
      </x:c>
      <x:c r="F27" s="106" t="n">
        <x:v>0.02</x:v>
      </x:c>
      <x:c r="G27" s="102"/>
      <x:c r="H27" s="102"/>
    </x:row>
    <x:row r="28">
      <x:c r="A28" s="102" t="str">
        <x:v>EBITDA margin</x:v>
      </x:c>
      <x:c r="B28" s="268" t="n">
        <x:v>0.0535</x:v>
      </x:c>
      <x:c r="C28" s="268" t="n">
        <x:v>0.0545</x:v>
      </x:c>
      <x:c r="D28" s="268" t="n">
        <x:v>0.0555</x:v>
      </x:c>
      <x:c r="E28" s="268" t="n">
        <x:v>0.056</x:v>
      </x:c>
      <x:c r="F28" s="268" t="n">
        <x:v>0.0565</x:v>
      </x:c>
      <x:c r="G28" s="102"/>
      <x:c r="H28" s="102"/>
    </x:row>
    <x:row r="29">
      <x:c r="A29" s="102" t="str">
        <x:v>Capex / revenue</x:v>
      </x:c>
      <x:c r="B29" s="268" t="n">
        <x:v>0.0245</x:v>
      </x:c>
      <x:c r="C29" s="268" t="n">
        <x:v>0.0245</x:v>
      </x:c>
      <x:c r="D29" s="268" t="n">
        <x:v>0.0245</x:v>
      </x:c>
      <x:c r="E29" s="268" t="n">
        <x:v>0.0245</x:v>
      </x:c>
      <x:c r="F29" s="268" t="n">
        <x:v>0.0245</x:v>
      </x:c>
      <x:c r="G29" s="102"/>
      <x:c r="H29" s="102"/>
    </x:row>
    <x:row r="30">
      <x:c r="A30" s="102" t="str">
        <x:v>Cash taxes / EBITDA</x:v>
      </x:c>
      <x:c r="B30" s="106" t="n">
        <x:v>0</x:v>
      </x:c>
      <x:c r="C30" s="106" t="n">
        <x:v>0.01</x:v>
      </x:c>
      <x:c r="D30" s="106" t="n">
        <x:v>0.02</x:v>
      </x:c>
      <x:c r="E30" s="106" t="n">
        <x:v>0.03</x:v>
      </x:c>
      <x:c r="F30" s="106" t="n">
        <x:v>0.04</x:v>
      </x:c>
      <x:c r="G30" s="102"/>
      <x:c r="H30" s="102"/>
    </x:row>
    <x:row r="31">
      <x:c r="A31" s="102" t="str">
        <x:v>Working capital &amp; other cash inflow</x:v>
      </x:c>
      <x:c r="B31" s="105" t="n">
        <x:v>60</x:v>
      </x:c>
      <x:c r="C31" s="105" t="n">
        <x:v>40</x:v>
      </x:c>
      <x:c r="D31" s="105" t="n">
        <x:v>30</x:v>
      </x:c>
      <x:c r="E31" s="105" t="n">
        <x:v>20</x:v>
      </x:c>
      <x:c r="F31" s="105" t="n">
        <x:v>20</x:v>
      </x:c>
      <x:c r="G31" s="102"/>
      <x:c r="H31" s="102"/>
    </x:row>
    <x:row r="32">
      <x:c r="A32" s="102" t="str">
        <x:v>Lease principal</x:v>
      </x:c>
      <x:c r="B32" s="105" t="n">
        <x:v>120</x:v>
      </x:c>
      <x:c r="C32" s="105" t="n">
        <x:v>123</x:v>
      </x:c>
      <x:c r="D32" s="105" t="n">
        <x:v>126</x:v>
      </x:c>
      <x:c r="E32" s="105" t="n">
        <x:v>129</x:v>
      </x:c>
      <x:c r="F32" s="105" t="n">
        <x:v>132</x:v>
      </x:c>
      <x:c r="G32" s="102"/>
      <x:c r="H32" s="102"/>
    </x:row>
    <x:row r="33">
      <x:c r="A33" s="102"/>
      <x:c r="B33" s="102"/>
      <x:c r="C33" s="102"/>
      <x:c r="D33" s="102"/>
      <x:c r="E33" s="102"/>
      <x:c r="F33" s="102"/>
      <x:c r="G33" s="102"/>
      <x:c r="H33" s="102"/>
    </x:row>
    <x:row r="34">
      <x:c r="A34" s="102"/>
      <x:c r="B34" s="102"/>
      <x:c r="C34" s="102"/>
      <x:c r="D34" s="102"/>
      <x:c r="E34" s="102"/>
      <x:c r="F34" s="102"/>
      <x:c r="G34" s="102"/>
      <x:c r="H34" s="102"/>
    </x:row>
    <x:row r="35">
      <x:c r="A35" s="11" t="str">
        <x:v>Downside Operating Assumptions</x:v>
      </x:c>
      <x:c r="B35" s="11" t="str">
        <x:v>Downside Operating Assumptions</x:v>
      </x:c>
      <x:c r="C35" s="11" t="str">
        <x:v>Downside Operating Assumptions</x:v>
      </x:c>
      <x:c r="D35" s="11" t="str">
        <x:v>Downside Operating Assumptions</x:v>
      </x:c>
      <x:c r="E35" s="11" t="str">
        <x:v>Downside Operating Assumptions</x:v>
      </x:c>
      <x:c r="F35" s="11" t="str">
        <x:v>Downside Operating Assumptions</x:v>
      </x:c>
      <x:c r="G35" s="11" t="str">
        <x:v>Downside Operating Assumptions</x:v>
      </x:c>
      <x:c r="H35" s="11" t="str">
        <x:v>Downside Operating Assumptions</x:v>
      </x:c>
    </x:row>
    <x:row r="36">
      <x:c r="A36" s="108" t="str">
        <x:v>Metric</x:v>
      </x:c>
      <x:c r="B36" s="108" t="str">
        <x:v>2026E</x:v>
      </x:c>
      <x:c r="C36" s="108" t="str">
        <x:v>2027E</x:v>
      </x:c>
      <x:c r="D36" s="108" t="str">
        <x:v>2028E</x:v>
      </x:c>
      <x:c r="E36" s="108" t="str">
        <x:v>2029E</x:v>
      </x:c>
      <x:c r="F36" s="108" t="str">
        <x:v>2030E</x:v>
      </x:c>
      <x:c r="G36" s="102"/>
      <x:c r="H36" s="102"/>
    </x:row>
    <x:row r="37">
      <x:c r="A37" s="102" t="str">
        <x:v>Revenue growth</x:v>
      </x:c>
      <x:c r="B37" s="106" t="n">
        <x:v>0</x:v>
      </x:c>
      <x:c r="C37" s="106" t="n">
        <x:v>-0.01</x:v>
      </x:c>
      <x:c r="D37" s="106" t="n">
        <x:v>0</x:v>
      </x:c>
      <x:c r="E37" s="106" t="n">
        <x:v>0.01</x:v>
      </x:c>
      <x:c r="F37" s="106" t="n">
        <x:v>0.015</x:v>
      </x:c>
      <x:c r="G37" s="102"/>
      <x:c r="H37" s="102"/>
    </x:row>
    <x:row r="38">
      <x:c r="A38" s="102" t="str">
        <x:v>EBITDA margin</x:v>
      </x:c>
      <x:c r="B38" s="268" t="n">
        <x:v>0.0475</x:v>
      </x:c>
      <x:c r="C38" s="268" t="n">
        <x:v>0.0465</x:v>
      </x:c>
      <x:c r="D38" s="268" t="n">
        <x:v>0.0475</x:v>
      </x:c>
      <x:c r="E38" s="268" t="n">
        <x:v>0.049</x:v>
      </x:c>
      <x:c r="F38" s="268" t="n">
        <x:v>0.05</x:v>
      </x:c>
      <x:c r="G38" s="102"/>
      <x:c r="H38" s="102"/>
    </x:row>
    <x:row r="39">
      <x:c r="A39" s="102" t="str">
        <x:v>Capex / revenue</x:v>
      </x:c>
      <x:c r="B39" s="106" t="n">
        <x:v>0.019</x:v>
      </x:c>
      <x:c r="C39" s="106" t="n">
        <x:v>0.019</x:v>
      </x:c>
      <x:c r="D39" s="106" t="n">
        <x:v>0.02</x:v>
      </x:c>
      <x:c r="E39" s="106" t="n">
        <x:v>0.021</x:v>
      </x:c>
      <x:c r="F39" s="106" t="n">
        <x:v>0.022</x:v>
      </x:c>
      <x:c r="G39" s="102"/>
      <x:c r="H39" s="102"/>
    </x:row>
    <x:row r="40">
      <x:c r="A40" s="102" t="str">
        <x:v>Cash taxes / EBITDA</x:v>
      </x:c>
      <x:c r="B40" s="106" t="n">
        <x:v>0</x:v>
      </x:c>
      <x:c r="C40" s="106" t="n">
        <x:v>0</x:v>
      </x:c>
      <x:c r="D40" s="106" t="n">
        <x:v>0</x:v>
      </x:c>
      <x:c r="E40" s="106" t="n">
        <x:v>0.01</x:v>
      </x:c>
      <x:c r="F40" s="106" t="n">
        <x:v>0.02</x:v>
      </x:c>
      <x:c r="G40" s="102"/>
      <x:c r="H40" s="102"/>
    </x:row>
    <x:row r="41">
      <x:c r="A41" s="102" t="str">
        <x:v>Working capital &amp; other cash inflow</x:v>
      </x:c>
      <x:c r="B41" s="105" t="n">
        <x:v>20</x:v>
      </x:c>
      <x:c r="C41" s="105" t="n">
        <x:v>0</x:v>
      </x:c>
      <x:c r="D41" s="105" t="n">
        <x:v>-20</x:v>
      </x:c>
      <x:c r="E41" s="105" t="n">
        <x:v>0</x:v>
      </x:c>
      <x:c r="F41" s="105" t="n">
        <x:v>10</x:v>
      </x:c>
      <x:c r="G41" s="102"/>
      <x:c r="H41" s="102"/>
    </x:row>
    <x:row r="42">
      <x:c r="A42" s="102" t="str">
        <x:v>Lease principal</x:v>
      </x:c>
      <x:c r="B42" s="105" t="n">
        <x:v>120</x:v>
      </x:c>
      <x:c r="C42" s="105" t="n">
        <x:v>123</x:v>
      </x:c>
      <x:c r="D42" s="105" t="n">
        <x:v>126</x:v>
      </x:c>
      <x:c r="E42" s="105" t="n">
        <x:v>129</x:v>
      </x:c>
      <x:c r="F42" s="105" t="n">
        <x:v>132</x:v>
      </x:c>
      <x:c r="G42" s="102"/>
      <x:c r="H42" s="102"/>
    </x:row>
    <x:row r="43">
      <x:c r="A43" s="102"/>
      <x:c r="B43" s="102"/>
      <x:c r="C43" s="102"/>
      <x:c r="D43" s="102"/>
      <x:c r="E43" s="102"/>
      <x:c r="F43" s="102"/>
      <x:c r="G43" s="102"/>
      <x:c r="H43" s="102"/>
    </x:row>
    <x:row r="44">
      <x:c r="A44" s="102"/>
      <x:c r="B44" s="102"/>
      <x:c r="C44" s="102"/>
      <x:c r="D44" s="102"/>
      <x:c r="E44" s="102"/>
      <x:c r="F44" s="102"/>
      <x:c r="G44" s="102"/>
      <x:c r="H44" s="102"/>
    </x:row>
    <x:row r="45">
      <x:c r="A45" s="109" t="str">
        <x:v>Scope: lender-style cash flow and debt schedule, not a full three-statement forecast. FY25 revenue and underlying EBITDA are public. Cash before this illustrative refinancing, debt allocation, fees, pricing, forecasts and covenants are assumptions. Debt metrics exclude lease liabilities while EBITDA uses the reported underlying measure; these are not verified covenant or full lease-adjusted metrics.</x:v>
      </x:c>
      <x:c r="B45"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C45"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D45"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E45"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F45"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G45"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H45"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row>
    <x:row r="46">
      <x:c r="A46"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B46"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C46"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D46"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E46"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F46"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G46"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H46"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row>
    <x:row r="47">
      <x:c r="A47"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B47"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C47"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D47"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E47"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F47"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G47"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H47"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row>
    <x:row r="48">
      <x:c r="A48"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B48"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C48"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D48"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E48"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F48"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G48"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c r="H48" s="109" t="str">
        <x:v>Scope note: the model is a lender-style cash flow and debt schedule, not a full three-statement forecast. FY25A revenue and EBITDA are public. Opening cash, post-refinancing debt allocation, pricing, operating forecasts and covenant terms are independent illustrative assumptions. Lease-adjusted rating-agency leverage may be materially higher than the pre-IFRS 16 lender metrics shown here.</x:v>
      </x:c>
    </x:row>
    <x:row r="50">
      <x:c r="A50" s="270" t="str">
        <x:v>Timing: FY26E is a full-year pro forma case, with post-refinancing cash and debt applied at the start of the modelled year. July 2026 is the analysis date; no actual mid-year closing or stub period is forecast. Aug-2032 is an indicative maturity. RCF commitment fees on undrawn capacity, redemption premiums and accrued settlement interest are excluded; £5m other transaction fees are illustrative. At an illustrative 50 / 100 bps fee on £1,000m undrawn capacity, annual cash cost is £5m / £10m (not a verified rate).</x:v>
      </x:c>
      <x:c r="B50" s="270"/>
      <x:c r="C50" s="270"/>
      <x:c r="D50" s="270"/>
      <x:c r="E50" s="270"/>
      <x:c r="F50" s="270"/>
      <x:c r="G50" s="270"/>
      <x:c r="H50" s="270"/>
    </x:row>
    <x:row r="51">
      <x:c r="A51" s="270"/>
      <x:c r="B51" s="270"/>
      <x:c r="C51" s="270"/>
      <x:c r="D51" s="270"/>
      <x:c r="E51" s="270"/>
      <x:c r="F51" s="270"/>
      <x:c r="G51" s="270"/>
      <x:c r="H51" s="270"/>
    </x:row>
    <x:row r="52">
      <x:c r="A52" s="270"/>
      <x:c r="B52" s="270"/>
      <x:c r="C52" s="270"/>
      <x:c r="D52" s="270"/>
      <x:c r="E52" s="270"/>
      <x:c r="F52" s="270"/>
      <x:c r="G52" s="270"/>
      <x:c r="H52" s="270"/>
    </x:row>
    <x:row r="53">
      <x:c r="A53" s="270"/>
      <x:c r="B53" s="270"/>
      <x:c r="C53" s="270"/>
      <x:c r="D53" s="270"/>
      <x:c r="E53" s="270"/>
      <x:c r="F53" s="270"/>
      <x:c r="G53" s="270"/>
      <x:c r="H53" s="270"/>
    </x:row>
    <x:row r="54">
      <x:c r="A54" s="270"/>
      <x:c r="B54" s="270"/>
      <x:c r="C54" s="270"/>
      <x:c r="D54" s="270"/>
      <x:c r="E54" s="270"/>
      <x:c r="F54" s="270"/>
      <x:c r="G54" s="270"/>
      <x:c r="H54" s="270"/>
    </x:row>
  </x:sheetData>
  <x:mergeCells>
    <x:mergeCell ref="A2:H2"/>
    <x:mergeCell ref="A4:H4"/>
    <x:mergeCell ref="A25:H25"/>
    <x:mergeCell ref="A35:H35"/>
    <x:mergeCell ref="A45:H48"/>
    <x:mergeCell ref="A50:H54"/>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2" hidden="0" customWidth="1"/>
    <x:col min="2" max="2" width="14" hidden="0" customWidth="1"/>
    <x:col min="3" max="3" width="14" hidden="0" customWidth="1"/>
    <x:col min="4" max="4" width="14" hidden="0" customWidth="1"/>
    <x:col min="5" max="5" width="12" hidden="0" customWidth="1"/>
    <x:col min="6" max="6" width="12" hidden="0" customWidth="1"/>
    <x:col min="7" max="7" width="12" hidden="0" customWidth="1"/>
    <x:col min="8" max="8" width="12" hidden="0" customWidth="1"/>
  </x:cols>
  <x:sheetData>
    <x:row r="1" ht="27" customHeight="1">
      <x:c r="A1" s="5" t="str">
        <x:v>Morrisons historical credit profile</x:v>
      </x:c>
      <x:c r="B1" s="5"/>
      <x:c r="C1" s="5"/>
      <x:c r="D1" s="5"/>
      <x:c r="E1" s="5"/>
      <x:c r="F1" s="5"/>
      <x:c r="G1" s="5"/>
      <x:c r="H1" s="5"/>
    </x:row>
    <x:row r="2" ht="20" customHeight="1">
      <x:c r="A2" s="101" t="str">
        <x:v>Public information from Market Bidco accounts and Morrisons trading updates. £m unless stated.</x:v>
      </x:c>
      <x:c r="B2" s="101" t="str">
        <x:v>Public information from Market Bidco accounts and Morrisons trading updates. £m unless stated.</x:v>
      </x:c>
      <x:c r="C2" s="101" t="str">
        <x:v>Public information from Market Bidco accounts and Morrisons trading updates. £m unless stated.</x:v>
      </x:c>
      <x:c r="D2" s="101" t="str">
        <x:v>Public information from Market Bidco accounts and Morrisons trading updates. £m unless stated.</x:v>
      </x:c>
      <x:c r="E2" s="101" t="str">
        <x:v>Public information from Market Bidco accounts and Morrisons trading updates. £m unless stated.</x:v>
      </x:c>
      <x:c r="F2" s="101" t="str">
        <x:v>Public information from Market Bidco accounts and Morrisons trading updates. £m unless stated.</x:v>
      </x:c>
      <x:c r="G2" s="101" t="str">
        <x:v>Public information from Market Bidco accounts and Morrisons trading updates. £m unless stated.</x:v>
      </x:c>
      <x:c r="H2" s="101" t="str">
        <x:v>Public information from Market Bidco accounts and Morrisons trading updates. £m unless stated.</x:v>
      </x:c>
    </x:row>
    <x:row r="3">
      <x:c r="A3" s="102"/>
      <x:c r="B3" s="102"/>
      <x:c r="C3" s="102"/>
      <x:c r="D3" s="102"/>
      <x:c r="E3" s="102"/>
      <x:c r="F3" s="102"/>
      <x:c r="G3" s="102"/>
      <x:c r="H3" s="102"/>
    </x:row>
    <x:row r="4">
      <x:c r="A4" s="11" t="str">
        <x:v>Operating &amp; Cash Flow History</x:v>
      </x:c>
      <x:c r="B4" s="11" t="str">
        <x:v>Operating &amp; Cash Flow History</x:v>
      </x:c>
      <x:c r="C4" s="11" t="str">
        <x:v>Operating &amp; Cash Flow History</x:v>
      </x:c>
      <x:c r="D4" s="11" t="str">
        <x:v>Operating &amp; Cash Flow History</x:v>
      </x:c>
      <x:c r="E4" s="11" t="str">
        <x:v>Operating &amp; Cash Flow History</x:v>
      </x:c>
      <x:c r="F4" s="102"/>
      <x:c r="G4" s="102"/>
      <x:c r="H4" s="102"/>
    </x:row>
    <x:row r="5">
      <x:c r="A5" s="108" t="str">
        <x:v>Metric</x:v>
      </x:c>
      <x:c r="B5" s="108" t="str">
        <x:v>2023A</x:v>
      </x:c>
      <x:c r="C5" s="108" t="str">
        <x:v>2024A</x:v>
      </x:c>
      <x:c r="D5" s="108" t="str">
        <x:v>2025A</x:v>
      </x:c>
      <x:c r="E5" s="102"/>
      <x:c r="F5" s="102"/>
      <x:c r="G5" s="102"/>
      <x:c r="H5" s="102"/>
    </x:row>
    <x:row r="6">
      <x:c r="A6" s="102" t="str">
        <x:v>Revenue (see comparability note)</x:v>
      </x:c>
      <x:c r="B6" s="110" t="n">
        <x:v>14885</x:v>
      </x:c>
      <x:c r="C6" s="110" t="n">
        <x:v>15382</x:v>
      </x:c>
      <x:c r="D6" s="110" t="n">
        <x:v>15800</x:v>
      </x:c>
      <x:c r="E6" s="102"/>
      <x:c r="F6" s="102"/>
      <x:c r="G6" s="102"/>
      <x:c r="H6" s="102"/>
    </x:row>
    <x:row r="7">
      <x:c r="A7" s="102" t="str">
        <x:v>Revenue growth (basis varies)</x:v>
      </x:c>
      <x:c r="B7" s="111"/>
      <x:c r="C7" s="116" t="n">
        <x:f>C6/B6-1</x:f>
        <x:v>0.03338931810547541</x:v>
      </x:c>
      <x:c r="D7" s="111" t="n">
        <x:v>0.032</x:v>
      </x:c>
      <x:c r="E7" s="102"/>
      <x:c r="F7" s="102"/>
      <x:c r="G7" s="102"/>
      <x:c r="H7" s="102"/>
    </x:row>
    <x:row r="8">
      <x:c r="A8" s="102" t="str">
        <x:v>Underlying EBITDA</x:v>
      </x:c>
      <x:c r="B8" s="110" t="n">
        <x:v>751</x:v>
      </x:c>
      <x:c r="C8" s="110" t="n">
        <x:v>835</x:v>
      </x:c>
      <x:c r="D8" s="110" t="n">
        <x:v>835</x:v>
      </x:c>
      <x:c r="E8" s="102"/>
      <x:c r="F8" s="102"/>
      <x:c r="G8" s="102"/>
      <x:c r="H8" s="102"/>
    </x:row>
    <x:row r="9">
      <x:c r="A9" s="102" t="str">
        <x:v>EBITDA margin</x:v>
      </x:c>
      <x:c r="B9" s="111" t="n">
        <x:v>0.0505</x:v>
      </x:c>
      <x:c r="C9" s="111" t="n">
        <x:v>0.0543</x:v>
      </x:c>
      <x:c r="D9" s="111" t="n">
        <x:v>0.0528</x:v>
      </x:c>
      <x:c r="E9" s="102"/>
      <x:c r="F9" s="102"/>
      <x:c r="G9" s="102"/>
      <x:c r="H9" s="102"/>
    </x:row>
    <x:row r="10">
      <x:c r="A10" s="102" t="str">
        <x:v>Cash generated from operations</x:v>
      </x:c>
      <x:c r="B10" s="112" t="n">
        <x:v>948</x:v>
      </x:c>
      <x:c r="C10" s="112" t="n">
        <x:v>936</x:v>
      </x:c>
      <x:c r="D10" s="112"/>
      <x:c r="E10" s="102"/>
      <x:c r="F10" s="102"/>
      <x:c r="G10" s="102"/>
      <x:c r="H10" s="102"/>
    </x:row>
    <x:row r="11">
      <x:c r="A11" s="102" t="str">
        <x:v>Interest paid</x:v>
      </x:c>
      <x:c r="B11" s="112" t="n">
        <x:v>-488</x:v>
      </x:c>
      <x:c r="C11" s="112" t="n">
        <x:v>-511</x:v>
      </x:c>
      <x:c r="D11" s="112"/>
      <x:c r="E11" s="102"/>
      <x:c r="F11" s="102"/>
      <x:c r="G11" s="102"/>
      <x:c r="H11" s="102"/>
    </x:row>
    <x:row r="12">
      <x:c r="A12" s="102" t="str">
        <x:v>Net cash from operating activities</x:v>
      </x:c>
      <x:c r="B12" s="112" t="n">
        <x:v>478</x:v>
      </x:c>
      <x:c r="C12" s="112" t="n">
        <x:v>425</x:v>
      </x:c>
      <x:c r="D12" s="112"/>
      <x:c r="E12" s="102"/>
      <x:c r="F12" s="102"/>
      <x:c r="G12" s="102"/>
      <x:c r="H12" s="102"/>
    </x:row>
    <x:row r="13">
      <x:c r="A13" s="102" t="str">
        <x:v>Cash capital expenditure</x:v>
      </x:c>
      <x:c r="B13" s="112" t="n">
        <x:v>-408</x:v>
      </x:c>
      <x:c r="C13" s="112" t="n">
        <x:v>-326</x:v>
      </x:c>
      <x:c r="D13" s="112"/>
      <x:c r="E13" s="102"/>
      <x:c r="F13" s="102"/>
      <x:c r="G13" s="102"/>
      <x:c r="H13" s="102"/>
    </x:row>
    <x:row r="14">
      <x:c r="A14" s="102" t="str">
        <x:v>Lease principal paid</x:v>
      </x:c>
      <x:c r="B14" s="112" t="n">
        <x:v>-97</x:v>
      </x:c>
      <x:c r="C14" s="112" t="n">
        <x:v>-113</x:v>
      </x:c>
      <x:c r="D14" s="112"/>
      <x:c r="E14" s="102"/>
      <x:c r="F14" s="102"/>
      <x:c r="G14" s="102"/>
      <x:c r="H14" s="102"/>
    </x:row>
    <x:row r="15">
      <x:c r="A15" s="102" t="str">
        <x:v>Core FCF before disposals / debt paydown</x:v>
      </x:c>
      <x:c r="B15" s="112" t="n">
        <x:v>-27</x:v>
      </x:c>
      <x:c r="C15" s="112" t="n">
        <x:v>-14</x:v>
      </x:c>
      <x:c r="D15" s="112"/>
      <x:c r="E15" s="102"/>
      <x:c r="F15" s="102"/>
      <x:c r="G15" s="102"/>
      <x:c r="H15" s="102"/>
    </x:row>
    <x:row r="16">
      <x:c r="A16" s="102" t="str">
        <x:v>Underlying EBITDA / interest paid</x:v>
      </x:c>
      <x:c r="B16" s="113" t="n">
        <x:v>1.54</x:v>
      </x:c>
      <x:c r="C16" s="113" t="n">
        <x:v>1.63</x:v>
      </x:c>
      <x:c r="D16" s="113"/>
      <x:c r="E16" s="102"/>
      <x:c r="F16" s="102"/>
      <x:c r="G16" s="102"/>
      <x:c r="H16" s="102"/>
    </x:row>
    <x:row r="17">
      <x:c r="A17" s="102"/>
      <x:c r="B17" s="102"/>
      <x:c r="C17" s="102"/>
      <x:c r="D17" s="102"/>
      <x:c r="E17" s="102"/>
      <x:c r="F17" s="102"/>
      <x:c r="G17" s="102"/>
      <x:c r="H17" s="102"/>
    </x:row>
    <x:row r="18">
      <x:c r="A18" s="114" t="str">
        <x:v>Interpretation: FY24 EBITDA improved and forecourt proceeds supported debt reduction, but recurring cash conversion remained thin after interest, capex and lease principal. FY25 maintained £835m underlying EBITDA despite c.£200m annualised cost headwinds, supported by £233m in-year savings. FY23–24 revenue and growth exclude fuel. FY25 revenue is total revenue and its 3.2% growth is the company-reported figure. These growth rates have different bases and are not a like-for-like forecast input.</x:v>
      </x:c>
      <x:c r="B18"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C18"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D18"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E18"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F18"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G18"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H18"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row>
    <x:row r="19">
      <x:c r="A19"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B19"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C19"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D19"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E19"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F19"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G19"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H19"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row>
    <x:row r="20">
      <x:c r="A20"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B20"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C20"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D20"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E20"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F20"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G20"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H20"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row>
    <x:row r="21">
      <x:c r="A21"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B21"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C21"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D21"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E21"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F21"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G21"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c r="H21" s="114" t="str">
        <x:v>Interpretation: FY24A showed EBITDA improvement and substantial deleveraging funded by the forecourt disposal, but recurring cash conversion remained thin after interest, capex and lease principal. FY25A preserved £835m EBITDA despite c.£200m annualised budget-related cost headwinds, supported by £233m of in-year savings. Revenue is shown for scale only: FY23A–FY24A is revenue excluding fuel, while the FY25 trading update reports total revenue, so the series is not used as a like-for-like forecast input.</x:v>
      </x:c>
    </x:row>
  </x:sheetData>
  <x:mergeCells>
    <x:mergeCell ref="A2:H2"/>
    <x:mergeCell ref="A4:E4"/>
    <x:mergeCell ref="A18:H21"/>
  </x:mergeCells>
  <x:pageMargins left="0.7" right="0.7" top="0.75" bottom="0.75" header="0.3" footer="0.3"/>
</x:worksheet>
</file>

<file path=xl/worksheets/sheet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40"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3" hidden="0" customWidth="1"/>
  </x:cols>
  <x:sheetData>
    <x:row r="1" ht="27" customHeight="1">
      <x:c r="A1" s="145" t="str">
        <x:v>Morrisons base case</x:v>
      </x:c>
      <x:c r="B1" s="146"/>
      <x:c r="C1" s="146"/>
      <x:c r="D1" s="146"/>
      <x:c r="E1" s="146"/>
      <x:c r="F1" s="146"/>
      <x:c r="G1" s="147"/>
      <x:c r="H1" s="5"/>
    </x:row>
    <x:row r="2" ht="20" customHeight="1">
      <x:c r="A2" s="148" t="str">
        <x:v>Full-year pro forma cash flow and debt schedule; opening annual interest; RCF commitment fees excluded. £m.</x:v>
      </x:c>
      <x:c r="B2" s="149" t="str">
        <x:v>Formula-driven operating cash flow, liquidity and debt paydown. £m unless stated.</x:v>
      </x:c>
      <x:c r="C2" s="149" t="str">
        <x:v>Formula-driven operating cash flow, liquidity and debt paydown. £m unless stated.</x:v>
      </x:c>
      <x:c r="D2" s="149" t="str">
        <x:v>Formula-driven operating cash flow, liquidity and debt paydown. £m unless stated.</x:v>
      </x:c>
      <x:c r="E2" s="149" t="str">
        <x:v>Formula-driven operating cash flow, liquidity and debt paydown. £m unless stated.</x:v>
      </x:c>
      <x:c r="F2" s="149" t="str">
        <x:v>Formula-driven operating cash flow, liquidity and debt paydown. £m unless stated.</x:v>
      </x:c>
      <x:c r="G2" s="150" t="str">
        <x:v>Formula-driven operating cash flow, liquidity and debt paydown. £m unless stated.</x:v>
      </x:c>
      <x:c r="H2" s="101" t="str">
        <x:v>Formula-driven operating cash flow, liquidity and debt paydown. £m unless stated.</x:v>
      </x:c>
    </x:row>
    <x:row r="3">
      <x:c r="A3" s="151"/>
      <x:c r="B3" s="152"/>
      <x:c r="C3" s="152"/>
      <x:c r="D3" s="152"/>
      <x:c r="E3" s="152"/>
      <x:c r="F3" s="152"/>
      <x:c r="G3" s="153"/>
      <x:c r="H3" s="102"/>
    </x:row>
    <x:row r="4">
      <x:c r="A4" s="151"/>
      <x:c r="B4" s="154" t="str">
        <x:v>2025A</x:v>
      </x:c>
      <x:c r="C4" s="154" t="str">
        <x:v>2026E</x:v>
      </x:c>
      <x:c r="D4" s="154" t="str">
        <x:v>2027E</x:v>
      </x:c>
      <x:c r="E4" s="154" t="str">
        <x:v>2028E</x:v>
      </x:c>
      <x:c r="F4" s="154" t="str">
        <x:v>2029E</x:v>
      </x:c>
      <x:c r="G4" s="155" t="str">
        <x:v>2030E</x:v>
      </x:c>
      <x:c r="H4" s="102"/>
    </x:row>
    <x:row r="5">
      <x:c r="A5" s="156" t="str">
        <x:v>Operating Forecast</x:v>
      </x:c>
      <x:c r="B5" s="157" t="str">
        <x:v>Operating Forecast</x:v>
      </x:c>
      <x:c r="C5" s="157" t="str">
        <x:v>Operating Forecast</x:v>
      </x:c>
      <x:c r="D5" s="157" t="str">
        <x:v>Operating Forecast</x:v>
      </x:c>
      <x:c r="E5" s="157" t="str">
        <x:v>Operating Forecast</x:v>
      </x:c>
      <x:c r="F5" s="157" t="str">
        <x:v>Operating Forecast</x:v>
      </x:c>
      <x:c r="G5" s="158" t="str">
        <x:v>Operating Forecast</x:v>
      </x:c>
      <x:c r="H5" s="102"/>
    </x:row>
    <x:row r="6">
      <x:c r="A6" s="159" t="str">
        <x:v>Revenue</x:v>
      </x:c>
      <x:c r="B6" s="161" t="n">
        <x:f>'Historical'!D6</x:f>
        <x:v>15800</x:v>
      </x:c>
      <x:c r="C6" s="161" t="n">
        <x:f>ROUND(B6*(1+'Assumptions'!B27),0)</x:f>
        <x:v>16227</x:v>
      </x:c>
      <x:c r="D6" s="161" t="n">
        <x:f>ROUND(C6*(1+'Assumptions'!C27),0)</x:f>
        <x:v>16633</x:v>
      </x:c>
      <x:c r="E6" s="161" t="n">
        <x:f>ROUND(D6*(1+'Assumptions'!D27),0)</x:f>
        <x:v>17016</x:v>
      </x:c>
      <x:c r="F6" s="161" t="n">
        <x:f>ROUND(E6*(1+'Assumptions'!E27),0)</x:f>
        <x:v>17356</x:v>
      </x:c>
      <x:c r="G6" s="162" t="n">
        <x:f>ROUND(F6*(1+'Assumptions'!F27),0)</x:f>
        <x:v>17703</x:v>
      </x:c>
      <x:c r="H6" s="102"/>
    </x:row>
    <x:row r="7">
      <x:c r="A7" s="159" t="str">
        <x:v>Revenue growth</x:v>
      </x:c>
      <x:c r="B7" s="164" t="n">
        <x:f>'Historical'!D7</x:f>
        <x:v>0.032</x:v>
      </x:c>
      <x:c r="C7" s="164" t="n">
        <x:f>'Assumptions'!B27</x:f>
        <x:v>0.027</x:v>
      </x:c>
      <x:c r="D7" s="164" t="n">
        <x:f>'Assumptions'!C27</x:f>
        <x:v>0.025</x:v>
      </x:c>
      <x:c r="E7" s="164" t="n">
        <x:f>'Assumptions'!D27</x:f>
        <x:v>0.023</x:v>
      </x:c>
      <x:c r="F7" s="164" t="n">
        <x:f>'Assumptions'!E27</x:f>
        <x:v>0.02</x:v>
      </x:c>
      <x:c r="G7" s="165" t="n">
        <x:f>'Assumptions'!F27</x:f>
        <x:v>0.02</x:v>
      </x:c>
      <x:c r="H7" s="102"/>
    </x:row>
    <x:row r="8">
      <x:c r="A8" s="159" t="str">
        <x:v>EBITDA margin</x:v>
      </x:c>
      <x:c r="B8" s="164" t="n">
        <x:f>'Historical'!D9</x:f>
        <x:v>0.0528</x:v>
      </x:c>
      <x:c r="C8" s="164" t="n">
        <x:f>'Assumptions'!B28</x:f>
        <x:v>0.0535</x:v>
      </x:c>
      <x:c r="D8" s="164" t="n">
        <x:f>'Assumptions'!C28</x:f>
        <x:v>0.0545</x:v>
      </x:c>
      <x:c r="E8" s="164" t="n">
        <x:f>'Assumptions'!D28</x:f>
        <x:v>0.0555</x:v>
      </x:c>
      <x:c r="F8" s="164" t="n">
        <x:f>'Assumptions'!E28</x:f>
        <x:v>0.056</x:v>
      </x:c>
      <x:c r="G8" s="165" t="n">
        <x:f>'Assumptions'!F28</x:f>
        <x:v>0.0565</x:v>
      </x:c>
      <x:c r="H8" s="102"/>
    </x:row>
    <x:row r="9">
      <x:c r="A9" s="159" t="str">
        <x:v>EBITDA</x:v>
      </x:c>
      <x:c r="B9" s="167" t="n">
        <x:f>'Historical'!D8</x:f>
        <x:v>835</x:v>
      </x:c>
      <x:c r="C9" s="167" t="n">
        <x:f>ROUND(C6*C8,0)</x:f>
        <x:v>868</x:v>
      </x:c>
      <x:c r="D9" s="167" t="n">
        <x:f>ROUND(D6*D8,0)</x:f>
        <x:v>906</x:v>
      </x:c>
      <x:c r="E9" s="167" t="n">
        <x:f>ROUND(E6*E8,0)</x:f>
        <x:v>944</x:v>
      </x:c>
      <x:c r="F9" s="167" t="n">
        <x:f>ROUND(F6*F8,0)</x:f>
        <x:v>972</x:v>
      </x:c>
      <x:c r="G9" s="168" t="n">
        <x:f>ROUND(G6*G8,0)</x:f>
        <x:v>1000</x:v>
      </x:c>
      <x:c r="H9" s="102"/>
    </x:row>
    <x:row r="10">
      <x:c r="A10" s="159" t="str">
        <x:v>Capital expenditure</x:v>
      </x:c>
      <x:c r="B10" s="169"/>
      <x:c r="C10" s="167" t="n">
        <x:f>-ROUND(C6*'Assumptions'!B29,0)</x:f>
        <x:v>-398</x:v>
      </x:c>
      <x:c r="D10" s="167" t="n">
        <x:f>-ROUND(D6*'Assumptions'!C29,0)</x:f>
        <x:v>-408</x:v>
      </x:c>
      <x:c r="E10" s="167" t="n">
        <x:f>-ROUND(E6*'Assumptions'!D29,0)</x:f>
        <x:v>-417</x:v>
      </x:c>
      <x:c r="F10" s="167" t="n">
        <x:f>-ROUND(F6*'Assumptions'!E29,0)</x:f>
        <x:v>-425</x:v>
      </x:c>
      <x:c r="G10" s="168" t="n">
        <x:f>-ROUND(G6*'Assumptions'!F29,0)</x:f>
        <x:v>-434</x:v>
      </x:c>
      <x:c r="H10" s="102"/>
    </x:row>
    <x:row r="11">
      <x:c r="A11" s="159" t="str">
        <x:v>Debt cash interest (opening balances)</x:v>
      </x:c>
      <x:c r="B11" s="169"/>
      <x:c r="C11" s="167" t="n">
        <x:f>-ROUND(C21*'Assumptions'!$B$13+C24*'Assumptions'!$B$16+C27*'Assumptions'!$B$18+C30*'Assumptions'!$B$11,0)</x:f>
        <x:v>-271</x:v>
      </x:c>
      <x:c r="D11" s="167" t="n">
        <x:f>-ROUND(D21*'Assumptions'!$B$13+D24*'Assumptions'!$B$16+D27*'Assumptions'!$B$18+D30*'Assumptions'!$B$11,0)</x:f>
        <x:v>-267</x:v>
      </x:c>
      <x:c r="E11" s="167" t="n">
        <x:f>-ROUND(E21*'Assumptions'!$B$13+E24*'Assumptions'!$B$16+E27*'Assumptions'!$B$18+E30*'Assumptions'!$B$11,0)</x:f>
        <x:v>-263</x:v>
      </x:c>
      <x:c r="F11" s="167" t="n">
        <x:f>-ROUND(F21*'Assumptions'!$B$13+F24*'Assumptions'!$B$16+F27*'Assumptions'!$B$18+F30*'Assumptions'!$B$11,0)</x:f>
        <x:v>-261</x:v>
      </x:c>
      <x:c r="G11" s="168" t="n">
        <x:f>-ROUND(G21*'Assumptions'!$B$13+G24*'Assumptions'!$B$16+G27*'Assumptions'!$B$18+G30*'Assumptions'!$B$11,0)</x:f>
        <x:v>-258</x:v>
      </x:c>
      <x:c r="H11" s="102"/>
    </x:row>
    <x:row r="12">
      <x:c r="A12" s="159" t="str">
        <x:v>Lease interest</x:v>
      </x:c>
      <x:c r="B12" s="169"/>
      <x:c r="C12" s="167" t="n">
        <x:f>-'Assumptions'!$B$21</x:f>
        <x:v>-105</x:v>
      </x:c>
      <x:c r="D12" s="167" t="n">
        <x:f>ROUND(C12*(1+'Assumptions'!$B$22),0)</x:f>
        <x:v>-107</x:v>
      </x:c>
      <x:c r="E12" s="167" t="n">
        <x:f>ROUND(D12*(1+'Assumptions'!$B$22),0)</x:f>
        <x:v>-109</x:v>
      </x:c>
      <x:c r="F12" s="167" t="n">
        <x:f>ROUND(E12*(1+'Assumptions'!$B$22),0)</x:f>
        <x:v>-111</x:v>
      </x:c>
      <x:c r="G12" s="168" t="n">
        <x:f>ROUND(F12*(1+'Assumptions'!$B$22),0)</x:f>
        <x:v>-113</x:v>
      </x:c>
      <x:c r="H12" s="102"/>
    </x:row>
    <x:row r="13">
      <x:c r="A13" s="159" t="str">
        <x:v>Cash taxes</x:v>
      </x:c>
      <x:c r="B13" s="169"/>
      <x:c r="C13" s="167" t="n">
        <x:f>-ROUND(C9*'Assumptions'!B30,0)</x:f>
        <x:v>0</x:v>
      </x:c>
      <x:c r="D13" s="167" t="n">
        <x:f>-ROUND(D9*'Assumptions'!C30,0)</x:f>
        <x:v>-9</x:v>
      </x:c>
      <x:c r="E13" s="167" t="n">
        <x:f>-ROUND(E9*'Assumptions'!D30,0)</x:f>
        <x:v>-19</x:v>
      </x:c>
      <x:c r="F13" s="167" t="n">
        <x:f>-ROUND(F9*'Assumptions'!E30,0)</x:f>
        <x:v>-29</x:v>
      </x:c>
      <x:c r="G13" s="168" t="n">
        <x:f>-ROUND(G9*'Assumptions'!F30,0)</x:f>
        <x:v>-40</x:v>
      </x:c>
      <x:c r="H13" s="102"/>
    </x:row>
    <x:row r="14">
      <x:c r="A14" s="159" t="str">
        <x:v>Working capital &amp; other cash inflow</x:v>
      </x:c>
      <x:c r="B14" s="169"/>
      <x:c r="C14" s="167" t="n">
        <x:f>'Assumptions'!B31</x:f>
        <x:v>60</x:v>
      </x:c>
      <x:c r="D14" s="167" t="n">
        <x:f>'Assumptions'!C31</x:f>
        <x:v>40</x:v>
      </x:c>
      <x:c r="E14" s="167" t="n">
        <x:f>'Assumptions'!D31</x:f>
        <x:v>30</x:v>
      </x:c>
      <x:c r="F14" s="167" t="n">
        <x:f>'Assumptions'!E31</x:f>
        <x:v>20</x:v>
      </x:c>
      <x:c r="G14" s="168" t="n">
        <x:f>'Assumptions'!F31</x:f>
        <x:v>20</x:v>
      </x:c>
      <x:c r="H14" s="102"/>
    </x:row>
    <x:row r="15">
      <x:c r="A15" s="159" t="str">
        <x:v>Lease principal</x:v>
      </x:c>
      <x:c r="B15" s="169"/>
      <x:c r="C15" s="167" t="n">
        <x:f>-'Assumptions'!B32</x:f>
        <x:v>-120</x:v>
      </x:c>
      <x:c r="D15" s="167" t="n">
        <x:f>-'Assumptions'!C32</x:f>
        <x:v>-123</x:v>
      </x:c>
      <x:c r="E15" s="167" t="n">
        <x:f>-'Assumptions'!D32</x:f>
        <x:v>-126</x:v>
      </x:c>
      <x:c r="F15" s="167" t="n">
        <x:f>-'Assumptions'!E32</x:f>
        <x:v>-129</x:v>
      </x:c>
      <x:c r="G15" s="168" t="n">
        <x:f>-'Assumptions'!F32</x:f>
        <x:v>-132</x:v>
      </x:c>
      <x:c r="H15" s="102"/>
    </x:row>
    <x:row r="16">
      <x:c r="A16" s="170" t="str">
        <x:v>Cash flow before debt paydown</x:v>
      </x:c>
      <x:c r="B16" s="171"/>
      <x:c r="C16" s="172" t="n">
        <x:f>ROUND(SUM(C9:C15),0)</x:f>
        <x:v>34</x:v>
      </x:c>
      <x:c r="D16" s="172" t="n">
        <x:f>ROUND(SUM(D9:D15),0)</x:f>
        <x:v>32</x:v>
      </x:c>
      <x:c r="E16" s="172" t="n">
        <x:f>ROUND(SUM(E9:E15),0)</x:f>
        <x:v>40</x:v>
      </x:c>
      <x:c r="F16" s="172" t="n">
        <x:f>ROUND(SUM(F9:F15),0)</x:f>
        <x:v>37</x:v>
      </x:c>
      <x:c r="G16" s="173" t="n">
        <x:f>ROUND(SUM(G9:G15),0)</x:f>
        <x:v>43</x:v>
      </x:c>
      <x:c r="H16" s="102"/>
    </x:row>
    <x:row r="17">
      <x:c r="A17" s="170" t="str">
        <x:v>Cash conversion / EBITDA</x:v>
      </x:c>
      <x:c r="B17" s="174"/>
      <x:c r="C17" s="175" t="n">
        <x:f>C16/C9</x:f>
        <x:v>0.03917050691244239</x:v>
      </x:c>
      <x:c r="D17" s="175" t="n">
        <x:f>D16/D9</x:f>
        <x:v>0.03532008830022075</x:v>
      </x:c>
      <x:c r="E17" s="175" t="n">
        <x:f>E16/E9</x:f>
        <x:v>0.0423728813559322</x:v>
      </x:c>
      <x:c r="F17" s="175" t="n">
        <x:f>F16/F9</x:f>
        <x:v>0.03806584362139918</x:v>
      </x:c>
      <x:c r="G17" s="176" t="n">
        <x:f>G16/G9</x:f>
        <x:v>0.043</x:v>
      </x:c>
      <x:c r="H17" s="102"/>
    </x:row>
    <x:row r="18">
      <x:c r="A18" s="159"/>
      <x:c r="B18" s="152"/>
      <x:c r="C18" s="177"/>
      <x:c r="D18" s="177"/>
      <x:c r="E18" s="177"/>
      <x:c r="F18" s="177"/>
      <x:c r="G18" s="178"/>
      <x:c r="H18" s="102"/>
    </x:row>
    <x:row r="19">
      <x:c r="A19" s="156" t="str">
        <x:v>Debt Schedule &amp; Liquidity</x:v>
      </x:c>
      <x:c r="B19" s="157" t="str">
        <x:v>Debt Schedule &amp; Liquidity</x:v>
      </x:c>
      <x:c r="C19" s="179" t="str">
        <x:v>Debt Schedule &amp; Liquidity</x:v>
      </x:c>
      <x:c r="D19" s="179" t="str">
        <x:v>Debt Schedule &amp; Liquidity</x:v>
      </x:c>
      <x:c r="E19" s="179" t="str">
        <x:v>Debt Schedule &amp; Liquidity</x:v>
      </x:c>
      <x:c r="F19" s="179" t="str">
        <x:v>Debt Schedule &amp; Liquidity</x:v>
      </x:c>
      <x:c r="G19" s="180" t="str">
        <x:v>Debt Schedule &amp; Liquidity</x:v>
      </x:c>
      <x:c r="H19" s="102"/>
    </x:row>
    <x:row r="20">
      <x:c r="A20" s="159" t="str">
        <x:v>Opening cash</x:v>
      </x:c>
      <x:c r="B20" s="152"/>
      <x:c r="C20" s="167" t="n">
        <x:f>'Assumptions'!$E$11</x:f>
        <x:v>340.2</x:v>
      </x:c>
      <x:c r="D20" s="167" t="n">
        <x:f>ROUND(C35,1)</x:f>
        <x:v>324.4</x:v>
      </x:c>
      <x:c r="E20" s="167" t="n">
        <x:f>ROUND(D35,1)</x:f>
        <x:v>315.5</x:v>
      </x:c>
      <x:c r="F20" s="167" t="n">
        <x:f>ROUND(E35,1)</x:f>
        <x:v>322.5</x:v>
      </x:c>
      <x:c r="G20" s="168" t="n">
        <x:f>ROUND(F35,1)</x:f>
        <x:v>325.5</x:v>
      </x:c>
      <x:c r="H20" s="102"/>
    </x:row>
    <x:row r="21">
      <x:c r="A21" s="159" t="str">
        <x:v>Opening term loans</x:v>
      </x:c>
      <x:c r="B21" s="152"/>
      <x:c r="C21" s="167" t="n">
        <x:f>'Assumptions'!$B$12</x:f>
        <x:v>1650</x:v>
      </x:c>
      <x:c r="D21" s="167" t="n">
        <x:f>ROUND(C23,1)</x:f>
        <x:v>1633.5</x:v>
      </x:c>
      <x:c r="E21" s="167" t="n">
        <x:f>ROUND(D23,1)</x:f>
        <x:v>1617</x:v>
      </x:c>
      <x:c r="F21" s="167" t="n">
        <x:f>ROUND(E23,1)</x:f>
        <x:v>1600.5</x:v>
      </x:c>
      <x:c r="G21" s="168" t="n">
        <x:f>ROUND(F23,1)</x:f>
        <x:v>1584</x:v>
      </x:c>
      <x:c r="H21" s="102"/>
    </x:row>
    <x:row r="22">
      <x:c r="A22" s="159" t="str">
        <x:v>Mandatory term loan amortisation</x:v>
      </x:c>
      <x:c r="B22" s="152"/>
      <x:c r="C22" s="167" t="n">
        <x:f>-ROUND(MIN(C21,'Assumptions'!$B$12*'Assumptions'!$B$14),1)</x:f>
        <x:v>-16.5</x:v>
      </x:c>
      <x:c r="D22" s="167" t="n">
        <x:f>-ROUND(MIN(D21,'Assumptions'!$B$12*'Assumptions'!$B$14),1)</x:f>
        <x:v>-16.5</x:v>
      </x:c>
      <x:c r="E22" s="167" t="n">
        <x:f>-ROUND(MIN(E21,'Assumptions'!$B$12*'Assumptions'!$B$14),1)</x:f>
        <x:v>-16.5</x:v>
      </x:c>
      <x:c r="F22" s="167" t="n">
        <x:f>-ROUND(MIN(F21,'Assumptions'!$B$12*'Assumptions'!$B$14),1)</x:f>
        <x:v>-16.5</x:v>
      </x:c>
      <x:c r="G22" s="168" t="n">
        <x:f>-ROUND(MIN(G21,'Assumptions'!$B$12*'Assumptions'!$B$14),1)</x:f>
        <x:v>-16.5</x:v>
      </x:c>
      <x:c r="H22" s="102"/>
    </x:row>
    <x:row r="23">
      <x:c r="A23" s="159" t="str">
        <x:v>Closing term loans</x:v>
      </x:c>
      <x:c r="B23" s="152"/>
      <x:c r="C23" s="167" t="n">
        <x:f>ROUND(C21+C22,1)</x:f>
        <x:v>1633.5</x:v>
      </x:c>
      <x:c r="D23" s="167" t="n">
        <x:f>ROUND(D21+D22,1)</x:f>
        <x:v>1617</x:v>
      </x:c>
      <x:c r="E23" s="167" t="n">
        <x:f>ROUND(E21+E22,1)</x:f>
        <x:v>1600.5</x:v>
      </x:c>
      <x:c r="F23" s="167" t="n">
        <x:f>ROUND(F21+F22,1)</x:f>
        <x:v>1584</x:v>
      </x:c>
      <x:c r="G23" s="168" t="n">
        <x:f>ROUND(G21+G22,1)</x:f>
        <x:v>1567.5</x:v>
      </x:c>
      <x:c r="H23" s="102"/>
    </x:row>
    <x:row r="24">
      <x:c r="A24" s="159" t="str">
        <x:v>Opening 2031 senior secured notes</x:v>
      </x:c>
      <x:c r="B24" s="152"/>
      <x:c r="C24" s="167" t="n">
        <x:f>'Assumptions'!$B$15</x:f>
        <x:v>930</x:v>
      </x:c>
      <x:c r="D24" s="167" t="n">
        <x:f>C26</x:f>
        <x:v>930</x:v>
      </x:c>
      <x:c r="E24" s="167" t="n">
        <x:f>D26</x:f>
        <x:v>930</x:v>
      </x:c>
      <x:c r="F24" s="167" t="n">
        <x:f>E26</x:f>
        <x:v>930</x:v>
      </x:c>
      <x:c r="G24" s="168" t="n">
        <x:f>F26</x:f>
        <x:v>930</x:v>
      </x:c>
      <x:c r="H24" s="102"/>
    </x:row>
    <x:row r="25">
      <x:c r="A25" s="159" t="str">
        <x:v>Scheduled notes amortisation</x:v>
      </x:c>
      <x:c r="B25" s="152"/>
      <x:c r="C25" s="167" t="n">
        <x:v>0</x:v>
      </x:c>
      <x:c r="D25" s="167" t="n">
        <x:v>0</x:v>
      </x:c>
      <x:c r="E25" s="167" t="n">
        <x:v>0</x:v>
      </x:c>
      <x:c r="F25" s="167" t="n">
        <x:v>0</x:v>
      </x:c>
      <x:c r="G25" s="168" t="n">
        <x:v>0</x:v>
      </x:c>
      <x:c r="H25" s="102"/>
    </x:row>
    <x:row r="26">
      <x:c r="A26" s="159" t="str">
        <x:v>Closing 2031 senior secured notes</x:v>
      </x:c>
      <x:c r="B26" s="152"/>
      <x:c r="C26" s="167" t="n">
        <x:f>ROUND(C24+C25,1)</x:f>
        <x:v>930</x:v>
      </x:c>
      <x:c r="D26" s="167" t="n">
        <x:f>ROUND(D24+D25,1)</x:f>
        <x:v>930</x:v>
      </x:c>
      <x:c r="E26" s="167" t="n">
        <x:f>ROUND(E24+E25,1)</x:f>
        <x:v>930</x:v>
      </x:c>
      <x:c r="F26" s="167" t="n">
        <x:f>ROUND(F24+F25,1)</x:f>
        <x:v>930</x:v>
      </x:c>
      <x:c r="G26" s="168" t="n">
        <x:f>ROUND(G24+G25,1)</x:f>
        <x:v>930</x:v>
      </x:c>
      <x:c r="H26" s="102"/>
    </x:row>
    <x:row r="27">
      <x:c r="A27" s="159" t="str">
        <x:v>Opening proposed refinancing facility</x:v>
      </x:c>
      <x:c r="B27" s="152"/>
      <x:c r="C27" s="167" t="n">
        <x:f>'Assumptions'!$B$17</x:f>
        <x:v>900</x:v>
      </x:c>
      <x:c r="D27" s="167" t="n">
        <x:f>C29</x:f>
        <x:v>866.7</x:v>
      </x:c>
      <x:c r="E27" s="167" t="n">
        <x:f>D29</x:f>
        <x:v>842.3</x:v>
      </x:c>
      <x:c r="F27" s="167" t="n">
        <x:f>E29</x:f>
        <x:v>825.8</x:v>
      </x:c>
      <x:c r="G27" s="168" t="n">
        <x:f>F29</x:f>
        <x:v>808.3</x:v>
      </x:c>
      <x:c r="H27" s="102"/>
    </x:row>
    <x:row r="28">
      <x:c r="A28" s="159" t="str">
        <x:v>Mandatory refinancing facility amortisation</x:v>
      </x:c>
      <x:c r="B28" s="152"/>
      <x:c r="C28" s="167" t="n">
        <x:f>-ROUND(MIN(C27,'Assumptions'!$B$17*'Assumptions'!$B$19),1)</x:f>
        <x:v>-9</x:v>
      </x:c>
      <x:c r="D28" s="167" t="n">
        <x:f>-ROUND(MIN(D27,'Assumptions'!$B$17*'Assumptions'!$B$19),1)</x:f>
        <x:v>-9</x:v>
      </x:c>
      <x:c r="E28" s="167" t="n">
        <x:f>-ROUND(MIN(E27,'Assumptions'!$B$17*'Assumptions'!$B$19),1)</x:f>
        <x:v>-9</x:v>
      </x:c>
      <x:c r="F28" s="167" t="n">
        <x:f>-ROUND(MIN(F27,'Assumptions'!$B$17*'Assumptions'!$B$19),1)</x:f>
        <x:v>-9</x:v>
      </x:c>
      <x:c r="G28" s="168" t="n">
        <x:f>-ROUND(MIN(G27,'Assumptions'!$B$17*'Assumptions'!$B$19),1)</x:f>
        <x:v>-9</x:v>
      </x:c>
      <x:c r="H28" s="102"/>
    </x:row>
    <x:row r="29">
      <x:c r="A29" s="159" t="str">
        <x:v>Closing proposed refinancing facility</x:v>
      </x:c>
      <x:c r="B29" s="152"/>
      <x:c r="C29" s="167" t="n">
        <x:f>ROUND(C27+C28+C34,1)</x:f>
        <x:v>866.7</x:v>
      </x:c>
      <x:c r="D29" s="167" t="n">
        <x:f>ROUND(D27+D28+D34,1)</x:f>
        <x:v>842.3</x:v>
      </x:c>
      <x:c r="E29" s="167" t="n">
        <x:f>ROUND(E27+E28+E34,1)</x:f>
        <x:v>825.8</x:v>
      </x:c>
      <x:c r="F29" s="167" t="n">
        <x:f>ROUND(F27+F28+F34,1)</x:f>
        <x:v>808.3</x:v>
      </x:c>
      <x:c r="G29" s="168" t="n">
        <x:f>ROUND(G27+G28+G34,1)</x:f>
        <x:v>788.5</x:v>
      </x:c>
      <x:c r="H29" s="102"/>
    </x:row>
    <x:row r="30">
      <x:c r="A30" s="159" t="str">
        <x:v>Opening RCF</x:v>
      </x:c>
      <x:c r="B30" s="152"/>
      <x:c r="C30" s="167" t="n">
        <x:f>0</x:f>
        <x:v>0</x:v>
      </x:c>
      <x:c r="D30" s="167" t="n">
        <x:f>C33</x:f>
        <x:v>0</x:v>
      </x:c>
      <x:c r="E30" s="167" t="n">
        <x:f>D33</x:f>
        <x:v>0</x:v>
      </x:c>
      <x:c r="F30" s="167" t="n">
        <x:f>E33</x:f>
        <x:v>0</x:v>
      </x:c>
      <x:c r="G30" s="168" t="n">
        <x:f>F33</x:f>
        <x:v>0</x:v>
      </x:c>
      <x:c r="H30" s="102"/>
    </x:row>
    <x:row r="31">
      <x:c r="A31" s="159" t="str">
        <x:v>RCF draw</x:v>
      </x:c>
      <x:c r="B31" s="152"/>
      <x:c r="C31" s="167" t="n">
        <x:f>ROUND(MIN(MAX(0,'Assumptions'!$B$10-C30),MAX(0,'Assumptions'!$B$9-(C20+C16+C22+C28))),1)</x:f>
        <x:v>0</x:v>
      </x:c>
      <x:c r="D31" s="167" t="n">
        <x:f>ROUND(MIN(MAX(0,'Assumptions'!$B$10-D30),MAX(0,'Assumptions'!$B$9-(D20+D16+D22+D28))),1)</x:f>
        <x:v>0</x:v>
      </x:c>
      <x:c r="E31" s="167" t="n">
        <x:f>ROUND(MIN(MAX(0,'Assumptions'!$B$10-E30),MAX(0,'Assumptions'!$B$9-(E20+E16+E22+E28))),1)</x:f>
        <x:v>0</x:v>
      </x:c>
      <x:c r="F31" s="167" t="n">
        <x:f>ROUND(MIN(MAX(0,'Assumptions'!$B$10-F30),MAX(0,'Assumptions'!$B$9-(F20+F16+F22+F28))),1)</x:f>
        <x:v>0</x:v>
      </x:c>
      <x:c r="G31" s="168" t="n">
        <x:f>ROUND(MIN(MAX(0,'Assumptions'!$B$10-G30),MAX(0,'Assumptions'!$B$9-(G20+G16+G22+G28))),1)</x:f>
        <x:v>0</x:v>
      </x:c>
      <x:c r="H31" s="102"/>
    </x:row>
    <x:row r="32">
      <x:c r="A32" s="159" t="str">
        <x:v>RCF repayment</x:v>
      </x:c>
      <x:c r="B32" s="152"/>
      <x:c r="C32" s="167" t="n">
        <x:f>-ROUND(MIN(C30,MAX(0,C20+C16+C22+C28-'Assumptions'!$B$9)),1)</x:f>
        <x:v>0</x:v>
      </x:c>
      <x:c r="D32" s="167" t="n">
        <x:f>-ROUND(MIN(D30,MAX(0,D20+D16+D22+D28-'Assumptions'!$B$9)),1)</x:f>
        <x:v>0</x:v>
      </x:c>
      <x:c r="E32" s="167" t="n">
        <x:f>-ROUND(MIN(E30,MAX(0,E20+E16+E22+E28-'Assumptions'!$B$9)),1)</x:f>
        <x:v>0</x:v>
      </x:c>
      <x:c r="F32" s="167" t="n">
        <x:f>-ROUND(MIN(F30,MAX(0,F20+F16+F22+F28-'Assumptions'!$B$9)),1)</x:f>
        <x:v>0</x:v>
      </x:c>
      <x:c r="G32" s="168" t="n">
        <x:f>-ROUND(MIN(G30,MAX(0,G20+G16+G22+G28-'Assumptions'!$B$9)),1)</x:f>
        <x:v>0</x:v>
      </x:c>
      <x:c r="H32" s="102"/>
    </x:row>
    <x:row r="33">
      <x:c r="A33" s="159" t="str">
        <x:v>Closing RCF</x:v>
      </x:c>
      <x:c r="B33" s="152"/>
      <x:c r="C33" s="167" t="n">
        <x:f>ROUND(C30+C31+C32,1)</x:f>
        <x:v>0</x:v>
      </x:c>
      <x:c r="D33" s="167" t="n">
        <x:f>ROUND(D30+D31+D32,1)</x:f>
        <x:v>0</x:v>
      </x:c>
      <x:c r="E33" s="167" t="n">
        <x:f>ROUND(E30+E31+E32,1)</x:f>
        <x:v>0</x:v>
      </x:c>
      <x:c r="F33" s="167" t="n">
        <x:f>ROUND(F30+F31+F32,1)</x:f>
        <x:v>0</x:v>
      </x:c>
      <x:c r="G33" s="168" t="n">
        <x:f>ROUND(G30+G31+G32,1)</x:f>
        <x:v>0</x:v>
      </x:c>
      <x:c r="H33" s="102"/>
    </x:row>
    <x:row r="34">
      <x:c r="A34" s="159" t="str">
        <x:v>Surplus-cash sweep to proposed facility</x:v>
      </x:c>
      <x:c r="B34" s="152"/>
      <x:c r="C34" s="167" t="n">
        <x:f>-ROUND(MIN(C27+C28,MAX(0,((C20+C16+C22+C28+C31+C32)-'Assumptions'!$B$9)*IF(((C21+C22+C26+C27+C28+C30+C31+C32)-(C20+C16+C22+C28+C31+C32))/C9&lt;'Assumptions'!$E$22,0,IF(((C21+C22+C26+C27+C28+C30+C31+C32)-(C20+C16+C22+C28+C31+C32))/C9&lt;'Assumptions'!$E$21,'Assumptions'!$E$20,'Assumptions'!$B$20)))),1)</x:f>
        <x:v>-24.3</x:v>
      </x:c>
      <x:c r="D34" s="167" t="n">
        <x:f>-ROUND(MIN(D27+D28,MAX(0,((D20+D16+D22+D28+D31+D32)-'Assumptions'!$B$9)*IF(((D21+D22+D26+D27+D28+D30+D31+D32)-(D20+D16+D22+D28+D31+D32))/D9&lt;'Assumptions'!$E$22,0,IF(((D21+D22+D26+D27+D28+D30+D31+D32)-(D20+D16+D22+D28+D31+D32))/D9&lt;'Assumptions'!$E$21,'Assumptions'!$E$20,'Assumptions'!$B$20)))),1)</x:f>
        <x:v>-15.4</x:v>
      </x:c>
      <x:c r="E34" s="167" t="n">
        <x:f>-ROUND(MIN(E27+E28,MAX(0,((E20+E16+E22+E28+E31+E32)-'Assumptions'!$B$9)*IF(((E21+E22+E26+E27+E28+E30+E31+E32)-(E20+E16+E22+E28+E31+E32))/E9&lt;'Assumptions'!$E$22,0,IF(((E21+E22+E26+E27+E28+E30+E31+E32)-(E20+E16+E22+E28+E31+E32))/E9&lt;'Assumptions'!$E$21,'Assumptions'!$E$20,'Assumptions'!$B$20)))),1)</x:f>
        <x:v>-7.5</x:v>
      </x:c>
      <x:c r="F34" s="167" t="n">
        <x:f>-ROUND(MIN(F27+F28,MAX(0,((F20+F16+F22+F28+F31+F32)-'Assumptions'!$B$9)*IF(((F21+F22+F26+F27+F28+F30+F31+F32)-(F20+F16+F22+F28+F31+F32))/F9&lt;'Assumptions'!$E$22,0,IF(((F21+F22+F26+F27+F28+F30+F31+F32)-(F20+F16+F22+F28+F31+F32))/F9&lt;'Assumptions'!$E$21,'Assumptions'!$E$20,'Assumptions'!$B$20)))),1)</x:f>
        <x:v>-8.5</x:v>
      </x:c>
      <x:c r="G34" s="168" t="n">
        <x:f>-ROUND(MIN(G27+G28,MAX(0,((G20+G16+G22+G28+G31+G32)-'Assumptions'!$B$9)*IF(((G21+G22+G26+G27+G28+G30+G31+G32)-(G20+G16+G22+G28+G31+G32))/G9&lt;'Assumptions'!$E$22,0,IF(((G21+G22+G26+G27+G28+G30+G31+G32)-(G20+G16+G22+G28+G31+G32))/G9&lt;'Assumptions'!$E$21,'Assumptions'!$E$20,'Assumptions'!$B$20)))),1)</x:f>
        <x:v>-10.8</x:v>
      </x:c>
      <x:c r="H34" s="102"/>
    </x:row>
    <x:row r="35">
      <x:c r="A35" s="159" t="str">
        <x:v>Closing cash</x:v>
      </x:c>
      <x:c r="B35" s="152"/>
      <x:c r="C35" s="167" t="n">
        <x:f>ROUND(C20+C16+C22+C28+C31+C32+C34,1)</x:f>
        <x:v>324.4</x:v>
      </x:c>
      <x:c r="D35" s="167" t="n">
        <x:f>ROUND(D20+D16+D22+D28+D31+D32+D34,1)</x:f>
        <x:v>315.5</x:v>
      </x:c>
      <x:c r="E35" s="167" t="n">
        <x:f>ROUND(E20+E16+E22+E28+E31+E32+E34,1)</x:f>
        <x:v>322.5</x:v>
      </x:c>
      <x:c r="F35" s="167" t="n">
        <x:f>ROUND(F20+F16+F22+F28+F31+F32+F34,1)</x:f>
        <x:v>325.5</x:v>
      </x:c>
      <x:c r="G35" s="168" t="n">
        <x:f>ROUND(G20+G16+G22+G28+G31+G32+G34,1)</x:f>
        <x:v>332.2</x:v>
      </x:c>
      <x:c r="H35" s="102"/>
    </x:row>
    <x:row r="36">
      <x:c r="A36" s="181" t="str">
        <x:v>Closing gross debt</x:v>
      </x:c>
      <x:c r="B36" s="182"/>
      <x:c r="C36" s="183" t="n">
        <x:f>ROUND(SUM(C23,C26,C29,C33),1)</x:f>
        <x:v>3430.2</x:v>
      </x:c>
      <x:c r="D36" s="183" t="n">
        <x:f>ROUND(SUM(D23,D26,D29,D33),1)</x:f>
        <x:v>3389.3</x:v>
      </x:c>
      <x:c r="E36" s="183" t="n">
        <x:f>ROUND(SUM(E23,E26,E29,E33),1)</x:f>
        <x:v>3356.3</x:v>
      </x:c>
      <x:c r="F36" s="183" t="n">
        <x:f>ROUND(SUM(F23,F26,F29,F33),1)</x:f>
        <x:v>3322.3</x:v>
      </x:c>
      <x:c r="G36" s="184" t="n">
        <x:f>ROUND(SUM(G23,G26,G29,G33),1)</x:f>
        <x:v>3286</x:v>
      </x:c>
      <x:c r="H36" s="102"/>
    </x:row>
    <x:row r="37">
      <x:c r="A37" s="181" t="str">
        <x:v>Closing net debt</x:v>
      </x:c>
      <x:c r="B37" s="182"/>
      <x:c r="C37" s="183" t="n">
        <x:f>ROUND(C36-C35,1)</x:f>
        <x:v>3105.8</x:v>
      </x:c>
      <x:c r="D37" s="183" t="n">
        <x:f>ROUND(D36-D35,1)</x:f>
        <x:v>3073.8</x:v>
      </x:c>
      <x:c r="E37" s="183" t="n">
        <x:f>ROUND(E36-E35,1)</x:f>
        <x:v>3033.8</x:v>
      </x:c>
      <x:c r="F37" s="183" t="n">
        <x:f>ROUND(F36-F35,1)</x:f>
        <x:v>2996.8</x:v>
      </x:c>
      <x:c r="G37" s="184" t="n">
        <x:f>ROUND(G36-G35,1)</x:f>
        <x:v>2953.8</x:v>
      </x:c>
      <x:c r="H37" s="102"/>
    </x:row>
    <x:row r="38">
      <x:c r="A38" s="181" t="str">
        <x:v>Net leverage</x:v>
      </x:c>
      <x:c r="B38" s="182"/>
      <x:c r="C38" s="185" t="n">
        <x:f>C37/C9</x:f>
        <x:v>3.5781105990783413</x:v>
      </x:c>
      <x:c r="D38" s="185" t="n">
        <x:f>D37/D9</x:f>
        <x:v>3.3927152317880798</x:v>
      </x:c>
      <x:c r="E38" s="185" t="n">
        <x:f>E37/E9</x:f>
        <x:v>3.213771186440678</x:v>
      </x:c>
      <x:c r="F38" s="185" t="n">
        <x:f>F37/F9</x:f>
        <x:v>3.083127572016461</x:v>
      </x:c>
      <x:c r="G38" s="186" t="n">
        <x:f>G37/G9</x:f>
        <x:v>2.9538</x:v>
      </x:c>
      <x:c r="H38" s="102"/>
    </x:row>
    <x:row r="39">
      <x:c r="A39" s="181" t="str">
        <x:v>EBITDA / total cash interest</x:v>
      </x:c>
      <x:c r="B39" s="182"/>
      <x:c r="C39" s="185" t="n">
        <x:f>C9/(-C11-C12)</x:f>
        <x:v>2.3085106382978724</x:v>
      </x:c>
      <x:c r="D39" s="185" t="n">
        <x:f>D9/(-D11-D12)</x:f>
        <x:v>2.4224598930481283</x:v>
      </x:c>
      <x:c r="E39" s="185" t="n">
        <x:f>E9/(-E11-E12)</x:f>
        <x:v>2.5376344086021505</x:v>
      </x:c>
      <x:c r="F39" s="185" t="n">
        <x:f>F9/(-F11-F12)</x:f>
        <x:v>2.6129032258064515</x:v>
      </x:c>
      <x:c r="G39" s="186" t="n">
        <x:f>G9/(-G11-G12)</x:f>
        <x:v>2.6954177897574123</x:v>
      </x:c>
      <x:c r="H39" s="102"/>
    </x:row>
    <x:row r="40">
      <x:c r="A40" s="217" t="str">
        <x:v>Liquidity (cash + undrawn RCF; FY30 assumes replacement)</x:v>
      </x:c>
      <x:c r="B40" s="188"/>
      <x:c r="C40" s="189" t="n">
        <x:f>ROUND(C35+'Assumptions'!$B$10-C33,1)</x:f>
        <x:v>1324.4</x:v>
      </x:c>
      <x:c r="D40" s="189" t="n">
        <x:f>ROUND(D35+'Assumptions'!$B$10-D33,1)</x:f>
        <x:v>1315.5</x:v>
      </x:c>
      <x:c r="E40" s="189" t="n">
        <x:f>ROUND(E35+'Assumptions'!$B$10-E33,1)</x:f>
        <x:v>1322.5</x:v>
      </x:c>
      <x:c r="F40" s="189" t="n">
        <x:f>ROUND(F35+'Assumptions'!$B$10-F33,1)</x:f>
        <x:v>1325.5</x:v>
      </x:c>
      <x:c r="G40" s="190" t="n">
        <x:f>ROUND(G35+'Assumptions'!$B$10-G33,1)</x:f>
        <x:v>1332.2</x:v>
      </x:c>
      <x:c r="H40" s="102"/>
    </x:row>
    <x:row r="41">
      <x:c r="A41" s="231" t="str">
        <x:v>Nov-2030 term loans plus Jan-2031 secured notes</x:v>
      </x:c>
      <x:c r="B41" s="232"/>
      <x:c r="C41" s="232"/>
      <x:c r="D41" s="232"/>
      <x:c r="E41" s="232"/>
      <x:c r="F41" s="232"/>
      <x:c r="G41" s="276" t="n">
        <x:f>ROUND(G23+G26,1)</x:f>
        <x:v>2497.5</x:v>
      </x:c>
    </x:row>
    <x:row r="42">
      <x:c r="A42" s="234" t="str">
        <x:v>FY30 proposed-facility balance (matures Aug-2032)</x:v>
      </x:c>
      <x:c r="B42" s="235"/>
      <x:c r="C42" s="235"/>
      <x:c r="D42" s="235"/>
      <x:c r="E42" s="235"/>
      <x:c r="F42" s="235"/>
      <x:c r="G42" s="277" t="n">
        <x:f>G29</x:f>
        <x:v>788.5</x:v>
      </x:c>
    </x:row>
    <x:row r="43" ht="32" customHeight="1">
      <x:c r="A43" s="237" t="str">
        <x:v>Refinancing action</x:v>
      </x:c>
      <x:c r="B43" s="238"/>
      <x:c r="C43" s="238"/>
      <x:c r="D43" s="238"/>
      <x:c r="E43" s="238"/>
      <x:c r="F43" s="238"/>
      <x:c r="G43" s="271" t="str">
        <x:v>Plan required by Aug-2029</x:v>
      </x:c>
    </x:row>
    <x:row r="44">
      <x:c r="A44" t="str">
        <x:v>Unfunded need to retain minimum cash</x:v>
      </x:c>
      <x:c r="C44" s="39" t="n">
        <x:f>ROUND(MAX(0,'Assumptions'!$B$9-C35),1)</x:f>
        <x:v>0</x:v>
      </x:c>
      <x:c r="D44" s="39" t="n">
        <x:f>ROUND(MAX(0,'Assumptions'!$B$9-D35),1)</x:f>
        <x:v>0</x:v>
      </x:c>
      <x:c r="E44" s="39" t="n">
        <x:f>ROUND(MAX(0,'Assumptions'!$B$9-E35),1)</x:f>
        <x:v>0</x:v>
      </x:c>
      <x:c r="F44" s="39" t="n">
        <x:f>ROUND(MAX(0,'Assumptions'!$B$9-F35),1)</x:f>
        <x:v>0</x:v>
      </x:c>
      <x:c r="G44" s="39" t="n">
        <x:f>ROUND(MAX(0,'Assumptions'!$B$9-G35),1)</x:f>
        <x:v>0</x:v>
      </x:c>
    </x:row>
  </x:sheetData>
  <x:mergeCells>
    <x:mergeCell ref="A2:H2"/>
    <x:mergeCell ref="A5:G5"/>
    <x:mergeCell ref="A19:G19"/>
  </x:mergeCells>
  <x:conditionalFormatting sqref="C16:G16">
    <x:cfRule type="cellIs" dxfId="0" priority="1" operator="lessThan">
      <x:formula>0</x:formula>
    </x:cfRule>
  </x:conditionalFormatting>
  <x:conditionalFormatting sqref="C39:G39">
    <x:cfRule type="cellIs" dxfId="1" priority="2" operator="lessThan">
      <x:formula>2</x:formula>
    </x:cfRule>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40"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3" hidden="0" customWidth="1"/>
  </x:cols>
  <x:sheetData>
    <x:row r="1" ht="27" customHeight="1">
      <x:c r="A1" s="145" t="str">
        <x:v>Morrisons downside</x:v>
      </x:c>
      <x:c r="B1" s="146"/>
      <x:c r="C1" s="146"/>
      <x:c r="D1" s="146"/>
      <x:c r="E1" s="146"/>
      <x:c r="F1" s="146"/>
      <x:c r="G1" s="147"/>
      <x:c r="H1" s="5"/>
    </x:row>
    <x:row r="2" ht="20" customHeight="1">
      <x:c r="A2" s="148" t="str">
        <x:v>Full-year pro forma cash flow and debt schedule; opening annual interest; RCF commitment fees excluded. £m.</x:v>
      </x:c>
      <x:c r="B2" s="149" t="str">
        <x:v>Formula-driven operating cash flow, liquidity and debt paydown. £m unless stated.</x:v>
      </x:c>
      <x:c r="C2" s="149" t="str">
        <x:v>Formula-driven operating cash flow, liquidity and debt paydown. £m unless stated.</x:v>
      </x:c>
      <x:c r="D2" s="149" t="str">
        <x:v>Formula-driven operating cash flow, liquidity and debt paydown. £m unless stated.</x:v>
      </x:c>
      <x:c r="E2" s="149" t="str">
        <x:v>Formula-driven operating cash flow, liquidity and debt paydown. £m unless stated.</x:v>
      </x:c>
      <x:c r="F2" s="149" t="str">
        <x:v>Formula-driven operating cash flow, liquidity and debt paydown. £m unless stated.</x:v>
      </x:c>
      <x:c r="G2" s="150" t="str">
        <x:v>Formula-driven operating cash flow, liquidity and debt paydown. £m unless stated.</x:v>
      </x:c>
      <x:c r="H2" s="101" t="str">
        <x:v>Formula-driven operating cash flow, liquidity and debt paydown. £m unless stated.</x:v>
      </x:c>
    </x:row>
    <x:row r="3">
      <x:c r="A3" s="151"/>
      <x:c r="B3" s="152"/>
      <x:c r="C3" s="152"/>
      <x:c r="D3" s="152"/>
      <x:c r="E3" s="152"/>
      <x:c r="F3" s="152"/>
      <x:c r="G3" s="153"/>
      <x:c r="H3" s="102"/>
    </x:row>
    <x:row r="4">
      <x:c r="A4" s="151"/>
      <x:c r="B4" s="154" t="str">
        <x:v>2025A</x:v>
      </x:c>
      <x:c r="C4" s="154" t="str">
        <x:v>2026E</x:v>
      </x:c>
      <x:c r="D4" s="154" t="str">
        <x:v>2027E</x:v>
      </x:c>
      <x:c r="E4" s="154" t="str">
        <x:v>2028E</x:v>
      </x:c>
      <x:c r="F4" s="154" t="str">
        <x:v>2029E</x:v>
      </x:c>
      <x:c r="G4" s="155" t="str">
        <x:v>2030E</x:v>
      </x:c>
      <x:c r="H4" s="102"/>
    </x:row>
    <x:row r="5">
      <x:c r="A5" s="156" t="str">
        <x:v>Operating Forecast</x:v>
      </x:c>
      <x:c r="B5" s="157" t="str">
        <x:v>Operating Forecast</x:v>
      </x:c>
      <x:c r="C5" s="157" t="str">
        <x:v>Operating Forecast</x:v>
      </x:c>
      <x:c r="D5" s="157" t="str">
        <x:v>Operating Forecast</x:v>
      </x:c>
      <x:c r="E5" s="157" t="str">
        <x:v>Operating Forecast</x:v>
      </x:c>
      <x:c r="F5" s="157" t="str">
        <x:v>Operating Forecast</x:v>
      </x:c>
      <x:c r="G5" s="158" t="str">
        <x:v>Operating Forecast</x:v>
      </x:c>
      <x:c r="H5" s="102"/>
    </x:row>
    <x:row r="6">
      <x:c r="A6" s="159" t="str">
        <x:v>Revenue</x:v>
      </x:c>
      <x:c r="B6" s="161" t="n">
        <x:f>'Historical'!D6</x:f>
        <x:v>15800</x:v>
      </x:c>
      <x:c r="C6" s="161" t="n">
        <x:f>ROUND(B6*(1+'Assumptions'!B37),0)</x:f>
        <x:v>15800</x:v>
      </x:c>
      <x:c r="D6" s="161" t="n">
        <x:f>ROUND(C6*(1+'Assumptions'!C37),0)</x:f>
        <x:v>15642</x:v>
      </x:c>
      <x:c r="E6" s="161" t="n">
        <x:f>ROUND(D6*(1+'Assumptions'!D37),0)</x:f>
        <x:v>15642</x:v>
      </x:c>
      <x:c r="F6" s="161" t="n">
        <x:f>ROUND(E6*(1+'Assumptions'!E37),0)</x:f>
        <x:v>15798</x:v>
      </x:c>
      <x:c r="G6" s="162" t="n">
        <x:f>ROUND(F6*(1+'Assumptions'!F37),0)</x:f>
        <x:v>16035</x:v>
      </x:c>
      <x:c r="H6" s="102"/>
    </x:row>
    <x:row r="7">
      <x:c r="A7" s="159" t="str">
        <x:v>Revenue growth</x:v>
      </x:c>
      <x:c r="B7" s="164" t="n">
        <x:f>'Historical'!D7</x:f>
        <x:v>0.032</x:v>
      </x:c>
      <x:c r="C7" s="164" t="n">
        <x:f>'Assumptions'!B37</x:f>
        <x:v>0</x:v>
      </x:c>
      <x:c r="D7" s="164" t="n">
        <x:f>'Assumptions'!C37</x:f>
        <x:v>-0.01</x:v>
      </x:c>
      <x:c r="E7" s="164" t="n">
        <x:f>'Assumptions'!D37</x:f>
        <x:v>0</x:v>
      </x:c>
      <x:c r="F7" s="164" t="n">
        <x:f>'Assumptions'!E37</x:f>
        <x:v>0.01</x:v>
      </x:c>
      <x:c r="G7" s="165" t="n">
        <x:f>'Assumptions'!F37</x:f>
        <x:v>0.015</x:v>
      </x:c>
      <x:c r="H7" s="102"/>
    </x:row>
    <x:row r="8">
      <x:c r="A8" s="159" t="str">
        <x:v>EBITDA margin</x:v>
      </x:c>
      <x:c r="B8" s="164" t="n">
        <x:f>'Historical'!D9</x:f>
        <x:v>0.0528</x:v>
      </x:c>
      <x:c r="C8" s="164" t="n">
        <x:f>'Assumptions'!B38</x:f>
        <x:v>0.0475</x:v>
      </x:c>
      <x:c r="D8" s="164" t="n">
        <x:f>'Assumptions'!C38</x:f>
        <x:v>0.0465</x:v>
      </x:c>
      <x:c r="E8" s="164" t="n">
        <x:f>'Assumptions'!D38</x:f>
        <x:v>0.0475</x:v>
      </x:c>
      <x:c r="F8" s="164" t="n">
        <x:f>'Assumptions'!E38</x:f>
        <x:v>0.049</x:v>
      </x:c>
      <x:c r="G8" s="165" t="n">
        <x:f>'Assumptions'!F38</x:f>
        <x:v>0.05</x:v>
      </x:c>
      <x:c r="H8" s="102"/>
    </x:row>
    <x:row r="9">
      <x:c r="A9" s="159" t="str">
        <x:v>EBITDA</x:v>
      </x:c>
      <x:c r="B9" s="167" t="n">
        <x:f>'Historical'!D8</x:f>
        <x:v>835</x:v>
      </x:c>
      <x:c r="C9" s="167" t="n">
        <x:f>ROUND(C6*C8,0)</x:f>
        <x:v>751</x:v>
      </x:c>
      <x:c r="D9" s="167" t="n">
        <x:f>ROUND(D6*D8,0)</x:f>
        <x:v>727</x:v>
      </x:c>
      <x:c r="E9" s="167" t="n">
        <x:f>ROUND(E6*E8,0)</x:f>
        <x:v>743</x:v>
      </x:c>
      <x:c r="F9" s="167" t="n">
        <x:f>ROUND(F6*F8,0)</x:f>
        <x:v>774</x:v>
      </x:c>
      <x:c r="G9" s="168" t="n">
        <x:f>ROUND(G6*G8,0)</x:f>
        <x:v>802</x:v>
      </x:c>
      <x:c r="H9" s="102"/>
    </x:row>
    <x:row r="10">
      <x:c r="A10" s="159" t="str">
        <x:v>Capital expenditure</x:v>
      </x:c>
      <x:c r="B10" s="169"/>
      <x:c r="C10" s="167" t="n">
        <x:f>-ROUND(C6*'Assumptions'!B39,0)</x:f>
        <x:v>-300</x:v>
      </x:c>
      <x:c r="D10" s="167" t="n">
        <x:f>-ROUND(D6*'Assumptions'!C39,0)</x:f>
        <x:v>-297</x:v>
      </x:c>
      <x:c r="E10" s="167" t="n">
        <x:f>-ROUND(E6*'Assumptions'!D39,0)</x:f>
        <x:v>-313</x:v>
      </x:c>
      <x:c r="F10" s="167" t="n">
        <x:f>-ROUND(F6*'Assumptions'!E39,0)</x:f>
        <x:v>-332</x:v>
      </x:c>
      <x:c r="G10" s="168" t="n">
        <x:f>-ROUND(G6*'Assumptions'!F39,0)</x:f>
        <x:v>-353</x:v>
      </x:c>
      <x:c r="H10" s="102"/>
    </x:row>
    <x:row r="11">
      <x:c r="A11" s="159" t="str">
        <x:v>Debt cash interest (opening balances)</x:v>
      </x:c>
      <x:c r="B11" s="169"/>
      <x:c r="C11" s="167" t="n">
        <x:f>-ROUND(C21*'Assumptions'!$B$13+C24*'Assumptions'!$B$16+C27*'Assumptions'!$B$18+C30*'Assumptions'!$B$11,0)</x:f>
        <x:v>-271</x:v>
      </x:c>
      <x:c r="D11" s="167" t="n">
        <x:f>-ROUND(D21*'Assumptions'!$B$13+D24*'Assumptions'!$B$16+D27*'Assumptions'!$B$18+D30*'Assumptions'!$B$11,0)</x:f>
        <x:v>-270</x:v>
      </x:c>
      <x:c r="E11" s="167" t="n">
        <x:f>-ROUND(E21*'Assumptions'!$B$13+E24*'Assumptions'!$B$16+E27*'Assumptions'!$B$18+E30*'Assumptions'!$B$11,0)</x:f>
        <x:v>-275</x:v>
      </x:c>
      <x:c r="F11" s="167" t="n">
        <x:f>-ROUND(F21*'Assumptions'!$B$13+F24*'Assumptions'!$B$16+F27*'Assumptions'!$B$18+F30*'Assumptions'!$B$11,0)</x:f>
        <x:v>-282</x:v>
      </x:c>
      <x:c r="G11" s="168" t="n">
        <x:f>-ROUND(G21*'Assumptions'!$B$13+G24*'Assumptions'!$B$16+G27*'Assumptions'!$B$18+G30*'Assumptions'!$B$11,0)</x:f>
        <x:v>-289</x:v>
      </x:c>
      <x:c r="H11" s="102"/>
    </x:row>
    <x:row r="12">
      <x:c r="A12" s="159" t="str">
        <x:v>Lease interest</x:v>
      </x:c>
      <x:c r="B12" s="169"/>
      <x:c r="C12" s="167" t="n">
        <x:f>-'Assumptions'!$B$21</x:f>
        <x:v>-105</x:v>
      </x:c>
      <x:c r="D12" s="167" t="n">
        <x:f>ROUND(C12*(1+'Assumptions'!$B$22),0)</x:f>
        <x:v>-107</x:v>
      </x:c>
      <x:c r="E12" s="167" t="n">
        <x:f>ROUND(D12*(1+'Assumptions'!$B$22),0)</x:f>
        <x:v>-109</x:v>
      </x:c>
      <x:c r="F12" s="167" t="n">
        <x:f>ROUND(E12*(1+'Assumptions'!$B$22),0)</x:f>
        <x:v>-111</x:v>
      </x:c>
      <x:c r="G12" s="168" t="n">
        <x:f>ROUND(F12*(1+'Assumptions'!$B$22),0)</x:f>
        <x:v>-113</x:v>
      </x:c>
      <x:c r="H12" s="102"/>
    </x:row>
    <x:row r="13">
      <x:c r="A13" s="159" t="str">
        <x:v>Cash taxes</x:v>
      </x:c>
      <x:c r="B13" s="169"/>
      <x:c r="C13" s="167" t="n">
        <x:f>-ROUND(C9*'Assumptions'!B40,0)</x:f>
        <x:v>0</x:v>
      </x:c>
      <x:c r="D13" s="167" t="n">
        <x:f>-ROUND(D9*'Assumptions'!C40,0)</x:f>
        <x:v>0</x:v>
      </x:c>
      <x:c r="E13" s="167" t="n">
        <x:f>-ROUND(E9*'Assumptions'!D40,0)</x:f>
        <x:v>0</x:v>
      </x:c>
      <x:c r="F13" s="167" t="n">
        <x:f>-ROUND(F9*'Assumptions'!E40,0)</x:f>
        <x:v>-8</x:v>
      </x:c>
      <x:c r="G13" s="168" t="n">
        <x:f>-ROUND(G9*'Assumptions'!F40,0)</x:f>
        <x:v>-16</x:v>
      </x:c>
      <x:c r="H13" s="102"/>
    </x:row>
    <x:row r="14">
      <x:c r="A14" s="159" t="str">
        <x:v>Working capital &amp; other cash inflow</x:v>
      </x:c>
      <x:c r="B14" s="169"/>
      <x:c r="C14" s="167" t="n">
        <x:f>'Assumptions'!B41</x:f>
        <x:v>20</x:v>
      </x:c>
      <x:c r="D14" s="167" t="n">
        <x:f>'Assumptions'!C41</x:f>
        <x:v>0</x:v>
      </x:c>
      <x:c r="E14" s="167" t="n">
        <x:f>'Assumptions'!D41</x:f>
        <x:v>-20</x:v>
      </x:c>
      <x:c r="F14" s="167" t="n">
        <x:f>'Assumptions'!E41</x:f>
        <x:v>0</x:v>
      </x:c>
      <x:c r="G14" s="168" t="n">
        <x:f>'Assumptions'!F41</x:f>
        <x:v>10</x:v>
      </x:c>
      <x:c r="H14" s="102"/>
    </x:row>
    <x:row r="15">
      <x:c r="A15" s="159" t="str">
        <x:v>Lease principal</x:v>
      </x:c>
      <x:c r="B15" s="169"/>
      <x:c r="C15" s="167" t="n">
        <x:f>-'Assumptions'!B42</x:f>
        <x:v>-120</x:v>
      </x:c>
      <x:c r="D15" s="167" t="n">
        <x:f>-'Assumptions'!C42</x:f>
        <x:v>-123</x:v>
      </x:c>
      <x:c r="E15" s="167" t="n">
        <x:f>-'Assumptions'!D42</x:f>
        <x:v>-126</x:v>
      </x:c>
      <x:c r="F15" s="167" t="n">
        <x:f>-'Assumptions'!E42</x:f>
        <x:v>-129</x:v>
      </x:c>
      <x:c r="G15" s="168" t="n">
        <x:f>-'Assumptions'!F42</x:f>
        <x:v>-132</x:v>
      </x:c>
      <x:c r="H15" s="102"/>
    </x:row>
    <x:row r="16">
      <x:c r="A16" s="170" t="str">
        <x:v>Cash flow before debt paydown</x:v>
      </x:c>
      <x:c r="B16" s="171"/>
      <x:c r="C16" s="172" t="n">
        <x:f>ROUND(SUM(C9:C15),0)</x:f>
        <x:v>-25</x:v>
      </x:c>
      <x:c r="D16" s="172" t="n">
        <x:f>ROUND(SUM(D9:D15),0)</x:f>
        <x:v>-70</x:v>
      </x:c>
      <x:c r="E16" s="172" t="n">
        <x:f>ROUND(SUM(E9:E15),0)</x:f>
        <x:v>-100</x:v>
      </x:c>
      <x:c r="F16" s="172" t="n">
        <x:f>ROUND(SUM(F9:F15),0)</x:f>
        <x:v>-88</x:v>
      </x:c>
      <x:c r="G16" s="173" t="n">
        <x:f>ROUND(SUM(G9:G15),0)</x:f>
        <x:v>-91</x:v>
      </x:c>
      <x:c r="H16" s="102"/>
    </x:row>
    <x:row r="17">
      <x:c r="A17" s="170" t="str">
        <x:v>Cash conversion / EBITDA</x:v>
      </x:c>
      <x:c r="B17" s="174"/>
      <x:c r="C17" s="175" t="n">
        <x:f>C16/C9</x:f>
        <x:v>-0.033288948069241014</x:v>
      </x:c>
      <x:c r="D17" s="175" t="n">
        <x:f>D16/D9</x:f>
        <x:v>-0.09628610729023383</x:v>
      </x:c>
      <x:c r="E17" s="175" t="n">
        <x:f>E16/E9</x:f>
        <x:v>-0.13458950201884254</x:v>
      </x:c>
      <x:c r="F17" s="175" t="n">
        <x:f>F16/F9</x:f>
        <x:v>-0.11369509043927649</x:v>
      </x:c>
      <x:c r="G17" s="176" t="n">
        <x:f>G16/G9</x:f>
        <x:v>-0.11346633416458853</x:v>
      </x:c>
      <x:c r="H17" s="102"/>
    </x:row>
    <x:row r="18">
      <x:c r="A18" s="159"/>
      <x:c r="B18" s="152"/>
      <x:c r="C18" s="177"/>
      <x:c r="D18" s="177"/>
      <x:c r="E18" s="177"/>
      <x:c r="F18" s="177"/>
      <x:c r="G18" s="178"/>
      <x:c r="H18" s="102"/>
    </x:row>
    <x:row r="19">
      <x:c r="A19" s="156" t="str">
        <x:v>Debt Schedule &amp; Liquidity</x:v>
      </x:c>
      <x:c r="B19" s="157" t="str">
        <x:v>Debt Schedule &amp; Liquidity</x:v>
      </x:c>
      <x:c r="C19" s="179" t="str">
        <x:v>Debt Schedule &amp; Liquidity</x:v>
      </x:c>
      <x:c r="D19" s="179" t="str">
        <x:v>Debt Schedule &amp; Liquidity</x:v>
      </x:c>
      <x:c r="E19" s="179" t="str">
        <x:v>Debt Schedule &amp; Liquidity</x:v>
      </x:c>
      <x:c r="F19" s="179" t="str">
        <x:v>Debt Schedule &amp; Liquidity</x:v>
      </x:c>
      <x:c r="G19" s="180" t="str">
        <x:v>Debt Schedule &amp; Liquidity</x:v>
      </x:c>
      <x:c r="H19" s="102"/>
    </x:row>
    <x:row r="20">
      <x:c r="A20" s="159" t="str">
        <x:v>Opening cash</x:v>
      </x:c>
      <x:c r="B20" s="152"/>
      <x:c r="C20" s="167" t="n">
        <x:f>'Assumptions'!$E$11</x:f>
        <x:v>340.2</x:v>
      </x:c>
      <x:c r="D20" s="167" t="n">
        <x:f>ROUND(C35,1)</x:f>
        <x:v>300</x:v>
      </x:c>
      <x:c r="E20" s="167" t="n">
        <x:f>ROUND(D35,1)</x:f>
        <x:v>300</x:v>
      </x:c>
      <x:c r="F20" s="167" t="n">
        <x:f>ROUND(E35,1)</x:f>
        <x:v>300</x:v>
      </x:c>
      <x:c r="G20" s="168" t="n">
        <x:f>ROUND(F35,1)</x:f>
        <x:v>300</x:v>
      </x:c>
      <x:c r="H20" s="102"/>
    </x:row>
    <x:row r="21">
      <x:c r="A21" s="159" t="str">
        <x:v>Opening term loans</x:v>
      </x:c>
      <x:c r="B21" s="152"/>
      <x:c r="C21" s="167" t="n">
        <x:f>'Assumptions'!$B$12</x:f>
        <x:v>1650</x:v>
      </x:c>
      <x:c r="D21" s="167" t="n">
        <x:f>ROUND(C23,1)</x:f>
        <x:v>1633.5</x:v>
      </x:c>
      <x:c r="E21" s="167" t="n">
        <x:f>ROUND(D23,1)</x:f>
        <x:v>1617</x:v>
      </x:c>
      <x:c r="F21" s="167" t="n">
        <x:f>ROUND(E23,1)</x:f>
        <x:v>1600.5</x:v>
      </x:c>
      <x:c r="G21" s="168" t="n">
        <x:f>ROUND(F23,1)</x:f>
        <x:v>1584</x:v>
      </x:c>
      <x:c r="H21" s="102"/>
    </x:row>
    <x:row r="22">
      <x:c r="A22" s="159" t="str">
        <x:v>Mandatory term loan amortisation</x:v>
      </x:c>
      <x:c r="B22" s="152"/>
      <x:c r="C22" s="167" t="n">
        <x:f>-ROUND(MIN(C21,'Assumptions'!$B$12*'Assumptions'!$B$14),1)</x:f>
        <x:v>-16.5</x:v>
      </x:c>
      <x:c r="D22" s="167" t="n">
        <x:f>-ROUND(MIN(D21,'Assumptions'!$B$12*'Assumptions'!$B$14),1)</x:f>
        <x:v>-16.5</x:v>
      </x:c>
      <x:c r="E22" s="167" t="n">
        <x:f>-ROUND(MIN(E21,'Assumptions'!$B$12*'Assumptions'!$B$14),1)</x:f>
        <x:v>-16.5</x:v>
      </x:c>
      <x:c r="F22" s="167" t="n">
        <x:f>-ROUND(MIN(F21,'Assumptions'!$B$12*'Assumptions'!$B$14),1)</x:f>
        <x:v>-16.5</x:v>
      </x:c>
      <x:c r="G22" s="168" t="n">
        <x:f>-ROUND(MIN(G21,'Assumptions'!$B$12*'Assumptions'!$B$14),1)</x:f>
        <x:v>-16.5</x:v>
      </x:c>
      <x:c r="H22" s="102"/>
    </x:row>
    <x:row r="23">
      <x:c r="A23" s="159" t="str">
        <x:v>Closing term loans</x:v>
      </x:c>
      <x:c r="B23" s="152"/>
      <x:c r="C23" s="167" t="n">
        <x:f>ROUND(C21+C22,1)</x:f>
        <x:v>1633.5</x:v>
      </x:c>
      <x:c r="D23" s="167" t="n">
        <x:f>ROUND(D21+D22,1)</x:f>
        <x:v>1617</x:v>
      </x:c>
      <x:c r="E23" s="167" t="n">
        <x:f>ROUND(E21+E22,1)</x:f>
        <x:v>1600.5</x:v>
      </x:c>
      <x:c r="F23" s="167" t="n">
        <x:f>ROUND(F21+F22,1)</x:f>
        <x:v>1584</x:v>
      </x:c>
      <x:c r="G23" s="168" t="n">
        <x:f>ROUND(G21+G22,1)</x:f>
        <x:v>1567.5</x:v>
      </x:c>
      <x:c r="H23" s="102"/>
    </x:row>
    <x:row r="24">
      <x:c r="A24" s="159" t="str">
        <x:v>Opening 2031 senior secured notes</x:v>
      </x:c>
      <x:c r="B24" s="152"/>
      <x:c r="C24" s="167" t="n">
        <x:f>'Assumptions'!$B$15</x:f>
        <x:v>930</x:v>
      </x:c>
      <x:c r="D24" s="167" t="n">
        <x:f>C26</x:f>
        <x:v>930</x:v>
      </x:c>
      <x:c r="E24" s="167" t="n">
        <x:f>D26</x:f>
        <x:v>930</x:v>
      </x:c>
      <x:c r="F24" s="167" t="n">
        <x:f>E26</x:f>
        <x:v>930</x:v>
      </x:c>
      <x:c r="G24" s="168" t="n">
        <x:f>F26</x:f>
        <x:v>930</x:v>
      </x:c>
      <x:c r="H24" s="102"/>
    </x:row>
    <x:row r="25">
      <x:c r="A25" s="159" t="str">
        <x:v>Scheduled notes amortisation</x:v>
      </x:c>
      <x:c r="B25" s="152"/>
      <x:c r="C25" s="167" t="n">
        <x:v>0</x:v>
      </x:c>
      <x:c r="D25" s="167" t="n">
        <x:v>0</x:v>
      </x:c>
      <x:c r="E25" s="167" t="n">
        <x:v>0</x:v>
      </x:c>
      <x:c r="F25" s="167" t="n">
        <x:v>0</x:v>
      </x:c>
      <x:c r="G25" s="168" t="n">
        <x:v>0</x:v>
      </x:c>
      <x:c r="H25" s="102"/>
    </x:row>
    <x:row r="26">
      <x:c r="A26" s="159" t="str">
        <x:v>Closing 2031 senior secured notes</x:v>
      </x:c>
      <x:c r="B26" s="152"/>
      <x:c r="C26" s="167" t="n">
        <x:f>ROUND(C24+C25,1)</x:f>
        <x:v>930</x:v>
      </x:c>
      <x:c r="D26" s="167" t="n">
        <x:f>ROUND(D24+D25,1)</x:f>
        <x:v>930</x:v>
      </x:c>
      <x:c r="E26" s="167" t="n">
        <x:f>ROUND(E24+E25,1)</x:f>
        <x:v>930</x:v>
      </x:c>
      <x:c r="F26" s="167" t="n">
        <x:f>ROUND(F24+F25,1)</x:f>
        <x:v>930</x:v>
      </x:c>
      <x:c r="G26" s="168" t="n">
        <x:f>ROUND(G24+G25,1)</x:f>
        <x:v>930</x:v>
      </x:c>
      <x:c r="H26" s="102"/>
    </x:row>
    <x:row r="27">
      <x:c r="A27" s="159" t="str">
        <x:v>Opening proposed refinancing facility</x:v>
      </x:c>
      <x:c r="B27" s="152"/>
      <x:c r="C27" s="167" t="n">
        <x:f>'Assumptions'!$B$17</x:f>
        <x:v>900</x:v>
      </x:c>
      <x:c r="D27" s="167" t="n">
        <x:f>C29</x:f>
        <x:v>891</x:v>
      </x:c>
      <x:c r="E27" s="167" t="n">
        <x:f>D29</x:f>
        <x:v>882</x:v>
      </x:c>
      <x:c r="F27" s="167" t="n">
        <x:f>E29</x:f>
        <x:v>873</x:v>
      </x:c>
      <x:c r="G27" s="168" t="n">
        <x:f>F29</x:f>
        <x:v>864</x:v>
      </x:c>
      <x:c r="H27" s="102"/>
    </x:row>
    <x:row r="28">
      <x:c r="A28" s="159" t="str">
        <x:v>Mandatory refinancing facility amortisation</x:v>
      </x:c>
      <x:c r="B28" s="152"/>
      <x:c r="C28" s="167" t="n">
        <x:f>-ROUND(MIN(C27,'Assumptions'!$B$17*'Assumptions'!$B$19),1)</x:f>
        <x:v>-9</x:v>
      </x:c>
      <x:c r="D28" s="167" t="n">
        <x:f>-ROUND(MIN(D27,'Assumptions'!$B$17*'Assumptions'!$B$19),1)</x:f>
        <x:v>-9</x:v>
      </x:c>
      <x:c r="E28" s="167" t="n">
        <x:f>-ROUND(MIN(E27,'Assumptions'!$B$17*'Assumptions'!$B$19),1)</x:f>
        <x:v>-9</x:v>
      </x:c>
      <x:c r="F28" s="167" t="n">
        <x:f>-ROUND(MIN(F27,'Assumptions'!$B$17*'Assumptions'!$B$19),1)</x:f>
        <x:v>-9</x:v>
      </x:c>
      <x:c r="G28" s="168" t="n">
        <x:f>-ROUND(MIN(G27,'Assumptions'!$B$17*'Assumptions'!$B$19),1)</x:f>
        <x:v>-9</x:v>
      </x:c>
      <x:c r="H28" s="102"/>
    </x:row>
    <x:row r="29">
      <x:c r="A29" s="159" t="str">
        <x:v>Closing proposed refinancing facility</x:v>
      </x:c>
      <x:c r="B29" s="152"/>
      <x:c r="C29" s="167" t="n">
        <x:f>ROUND(C27+C28+C34,1)</x:f>
        <x:v>891</x:v>
      </x:c>
      <x:c r="D29" s="167" t="n">
        <x:f>ROUND(D27+D28+D34,1)</x:f>
        <x:v>882</x:v>
      </x:c>
      <x:c r="E29" s="167" t="n">
        <x:f>ROUND(E27+E28+E34,1)</x:f>
        <x:v>873</x:v>
      </x:c>
      <x:c r="F29" s="167" t="n">
        <x:f>ROUND(F27+F28+F34,1)</x:f>
        <x:v>864</x:v>
      </x:c>
      <x:c r="G29" s="168" t="n">
        <x:f>ROUND(G27+G28+G34,1)</x:f>
        <x:v>855</x:v>
      </x:c>
      <x:c r="H29" s="102"/>
    </x:row>
    <x:row r="30">
      <x:c r="A30" s="159" t="str">
        <x:v>Opening RCF</x:v>
      </x:c>
      <x:c r="B30" s="152"/>
      <x:c r="C30" s="167" t="n">
        <x:f>0</x:f>
        <x:v>0</x:v>
      </x:c>
      <x:c r="D30" s="167" t="n">
        <x:f>C33</x:f>
        <x:v>10.3</x:v>
      </x:c>
      <x:c r="E30" s="167" t="n">
        <x:f>D33</x:f>
        <x:v>105.8</x:v>
      </x:c>
      <x:c r="F30" s="167" t="n">
        <x:f>E33</x:f>
        <x:v>231.3</x:v>
      </x:c>
      <x:c r="G30" s="168" t="n">
        <x:f>F33</x:f>
        <x:v>344.8</x:v>
      </x:c>
      <x:c r="H30" s="102"/>
    </x:row>
    <x:row r="31">
      <x:c r="A31" s="159" t="str">
        <x:v>RCF draw</x:v>
      </x:c>
      <x:c r="B31" s="152"/>
      <x:c r="C31" s="167" t="n">
        <x:f>ROUND(MIN(MAX(0,'Assumptions'!$B$10-C30),MAX(0,'Assumptions'!$B$9-(C20+C16+C22+C28))),1)</x:f>
        <x:v>10.3</x:v>
      </x:c>
      <x:c r="D31" s="167" t="n">
        <x:f>ROUND(MIN(MAX(0,'Assumptions'!$B$10-D30),MAX(0,'Assumptions'!$B$9-(D20+D16+D22+D28))),1)</x:f>
        <x:v>95.5</x:v>
      </x:c>
      <x:c r="E31" s="167" t="n">
        <x:f>ROUND(MIN(MAX(0,'Assumptions'!$B$10-E30),MAX(0,'Assumptions'!$B$9-(E20+E16+E22+E28))),1)</x:f>
        <x:v>125.5</x:v>
      </x:c>
      <x:c r="F31" s="167" t="n">
        <x:f>ROUND(MIN(MAX(0,'Assumptions'!$B$10-F30),MAX(0,'Assumptions'!$B$9-(F20+F16+F22+F28))),1)</x:f>
        <x:v>113.5</x:v>
      </x:c>
      <x:c r="G31" s="168" t="n">
        <x:f>ROUND(MIN(MAX(0,'Assumptions'!$B$10-G30),MAX(0,'Assumptions'!$B$9-(G20+G16+G22+G28))),1)</x:f>
        <x:v>116.5</x:v>
      </x:c>
      <x:c r="H31" s="102"/>
    </x:row>
    <x:row r="32">
      <x:c r="A32" s="159" t="str">
        <x:v>RCF repayment</x:v>
      </x:c>
      <x:c r="B32" s="152"/>
      <x:c r="C32" s="167" t="n">
        <x:f>-ROUND(MIN(C30,MAX(0,C20+C16+C22+C28-'Assumptions'!$B$9)),1)</x:f>
        <x:v>0</x:v>
      </x:c>
      <x:c r="D32" s="167" t="n">
        <x:f>-ROUND(MIN(D30,MAX(0,D20+D16+D22+D28-'Assumptions'!$B$9)),1)</x:f>
        <x:v>0</x:v>
      </x:c>
      <x:c r="E32" s="167" t="n">
        <x:f>-ROUND(MIN(E30,MAX(0,E20+E16+E22+E28-'Assumptions'!$B$9)),1)</x:f>
        <x:v>0</x:v>
      </x:c>
      <x:c r="F32" s="167" t="n">
        <x:f>-ROUND(MIN(F30,MAX(0,F20+F16+F22+F28-'Assumptions'!$B$9)),1)</x:f>
        <x:v>0</x:v>
      </x:c>
      <x:c r="G32" s="168" t="n">
        <x:f>-ROUND(MIN(G30,MAX(0,G20+G16+G22+G28-'Assumptions'!$B$9)),1)</x:f>
        <x:v>0</x:v>
      </x:c>
      <x:c r="H32" s="102"/>
    </x:row>
    <x:row r="33">
      <x:c r="A33" s="159" t="str">
        <x:v>Closing RCF</x:v>
      </x:c>
      <x:c r="B33" s="152"/>
      <x:c r="C33" s="167" t="n">
        <x:f>ROUND(C30+C31+C32,1)</x:f>
        <x:v>10.3</x:v>
      </x:c>
      <x:c r="D33" s="167" t="n">
        <x:f>ROUND(D30+D31+D32,1)</x:f>
        <x:v>105.8</x:v>
      </x:c>
      <x:c r="E33" s="167" t="n">
        <x:f>ROUND(E30+E31+E32,1)</x:f>
        <x:v>231.3</x:v>
      </x:c>
      <x:c r="F33" s="167" t="n">
        <x:f>ROUND(F30+F31+F32,1)</x:f>
        <x:v>344.8</x:v>
      </x:c>
      <x:c r="G33" s="168" t="n">
        <x:f>ROUND(G30+G31+G32,1)</x:f>
        <x:v>461.3</x:v>
      </x:c>
      <x:c r="H33" s="102"/>
    </x:row>
    <x:row r="34">
      <x:c r="A34" s="159" t="str">
        <x:v>Surplus-cash sweep to proposed facility</x:v>
      </x:c>
      <x:c r="B34" s="152"/>
      <x:c r="C34" s="167" t="n">
        <x:f>-ROUND(MIN(C27+C28,MAX(0,((C20+C16+C22+C28+C31+C32)-'Assumptions'!$B$9)*IF(((C21+C22+C26+C27+C28+C30+C31+C32)-(C20+C16+C22+C28+C31+C32))/C9&lt;'Assumptions'!$E$22,0,IF(((C21+C22+C26+C27+C28+C30+C31+C32)-(C20+C16+C22+C28+C31+C32))/C9&lt;'Assumptions'!$E$21,'Assumptions'!$E$20,'Assumptions'!$B$20)))),1)</x:f>
        <x:v>0</x:v>
      </x:c>
      <x:c r="D34" s="167" t="n">
        <x:f>-ROUND(MIN(D27+D28,MAX(0,((D20+D16+D22+D28+D31+D32)-'Assumptions'!$B$9)*IF(((D21+D22+D26+D27+D28+D30+D31+D32)-(D20+D16+D22+D28+D31+D32))/D9&lt;'Assumptions'!$E$22,0,IF(((D21+D22+D26+D27+D28+D30+D31+D32)-(D20+D16+D22+D28+D31+D32))/D9&lt;'Assumptions'!$E$21,'Assumptions'!$E$20,'Assumptions'!$B$20)))),1)</x:f>
        <x:v>0</x:v>
      </x:c>
      <x:c r="E34" s="167" t="n">
        <x:f>-ROUND(MIN(E27+E28,MAX(0,((E20+E16+E22+E28+E31+E32)-'Assumptions'!$B$9)*IF(((E21+E22+E26+E27+E28+E30+E31+E32)-(E20+E16+E22+E28+E31+E32))/E9&lt;'Assumptions'!$E$22,0,IF(((E21+E22+E26+E27+E28+E30+E31+E32)-(E20+E16+E22+E28+E31+E32))/E9&lt;'Assumptions'!$E$21,'Assumptions'!$E$20,'Assumptions'!$B$20)))),1)</x:f>
        <x:v>0</x:v>
      </x:c>
      <x:c r="F34" s="167" t="n">
        <x:f>-ROUND(MIN(F27+F28,MAX(0,((F20+F16+F22+F28+F31+F32)-'Assumptions'!$B$9)*IF(((F21+F22+F26+F27+F28+F30+F31+F32)-(F20+F16+F22+F28+F31+F32))/F9&lt;'Assumptions'!$E$22,0,IF(((F21+F22+F26+F27+F28+F30+F31+F32)-(F20+F16+F22+F28+F31+F32))/F9&lt;'Assumptions'!$E$21,'Assumptions'!$E$20,'Assumptions'!$B$20)))),1)</x:f>
        <x:v>0</x:v>
      </x:c>
      <x:c r="G34" s="168" t="n">
        <x:f>-ROUND(MIN(G27+G28,MAX(0,((G20+G16+G22+G28+G31+G32)-'Assumptions'!$B$9)*IF(((G21+G22+G26+G27+G28+G30+G31+G32)-(G20+G16+G22+G28+G31+G32))/G9&lt;'Assumptions'!$E$22,0,IF(((G21+G22+G26+G27+G28+G30+G31+G32)-(G20+G16+G22+G28+G31+G32))/G9&lt;'Assumptions'!$E$21,'Assumptions'!$E$20,'Assumptions'!$B$20)))),1)</x:f>
        <x:v>0</x:v>
      </x:c>
      <x:c r="H34" s="102"/>
    </x:row>
    <x:row r="35">
      <x:c r="A35" s="159" t="str">
        <x:v>Closing cash</x:v>
      </x:c>
      <x:c r="B35" s="152"/>
      <x:c r="C35" s="167" t="n">
        <x:f>ROUND(C20+C16+C22+C28+C31+C32+C34,1)</x:f>
        <x:v>300</x:v>
      </x:c>
      <x:c r="D35" s="167" t="n">
        <x:f>ROUND(D20+D16+D22+D28+D31+D32+D34,1)</x:f>
        <x:v>300</x:v>
      </x:c>
      <x:c r="E35" s="167" t="n">
        <x:f>ROUND(E20+E16+E22+E28+E31+E32+E34,1)</x:f>
        <x:v>300</x:v>
      </x:c>
      <x:c r="F35" s="167" t="n">
        <x:f>ROUND(F20+F16+F22+F28+F31+F32+F34,1)</x:f>
        <x:v>300</x:v>
      </x:c>
      <x:c r="G35" s="168" t="n">
        <x:f>ROUND(G20+G16+G22+G28+G31+G32+G34,1)</x:f>
        <x:v>300</x:v>
      </x:c>
      <x:c r="H35" s="102"/>
    </x:row>
    <x:row r="36">
      <x:c r="A36" s="191" t="str">
        <x:v>Closing gross debt</x:v>
      </x:c>
      <x:c r="B36" s="192"/>
      <x:c r="C36" s="193" t="n">
        <x:f>ROUND(SUM(C23,C26,C29,C33),1)</x:f>
        <x:v>3464.8</x:v>
      </x:c>
      <x:c r="D36" s="193" t="n">
        <x:f>ROUND(SUM(D23,D26,D29,D33),1)</x:f>
        <x:v>3534.8</x:v>
      </x:c>
      <x:c r="E36" s="193" t="n">
        <x:f>ROUND(SUM(E23,E26,E29,E33),1)</x:f>
        <x:v>3634.8</x:v>
      </x:c>
      <x:c r="F36" s="193" t="n">
        <x:f>ROUND(SUM(F23,F26,F29,F33),1)</x:f>
        <x:v>3722.8</x:v>
      </x:c>
      <x:c r="G36" s="194" t="n">
        <x:f>ROUND(SUM(G23,G26,G29,G33),1)</x:f>
        <x:v>3813.8</x:v>
      </x:c>
      <x:c r="H36" s="102"/>
    </x:row>
    <x:row r="37">
      <x:c r="A37" s="191" t="str">
        <x:v>Closing net debt</x:v>
      </x:c>
      <x:c r="B37" s="192"/>
      <x:c r="C37" s="193" t="n">
        <x:f>ROUND(C36-C35,1)</x:f>
        <x:v>3164.8</x:v>
      </x:c>
      <x:c r="D37" s="193" t="n">
        <x:f>ROUND(D36-D35,1)</x:f>
        <x:v>3234.8</x:v>
      </x:c>
      <x:c r="E37" s="193" t="n">
        <x:f>ROUND(E36-E35,1)</x:f>
        <x:v>3334.8</x:v>
      </x:c>
      <x:c r="F37" s="193" t="n">
        <x:f>ROUND(F36-F35,1)</x:f>
        <x:v>3422.8</x:v>
      </x:c>
      <x:c r="G37" s="194" t="n">
        <x:f>ROUND(G36-G35,1)</x:f>
        <x:v>3513.8</x:v>
      </x:c>
      <x:c r="H37" s="102"/>
    </x:row>
    <x:row r="38">
      <x:c r="A38" s="191" t="str">
        <x:v>Net leverage</x:v>
      </x:c>
      <x:c r="B38" s="192"/>
      <x:c r="C38" s="195" t="n">
        <x:f>C37/C9</x:f>
        <x:v>4.214114513981358</x:v>
      </x:c>
      <x:c r="D38" s="195" t="n">
        <x:f>D37/D9</x:f>
        <x:v>4.4495185694635495</x:v>
      </x:c>
      <x:c r="E38" s="195" t="n">
        <x:f>E37/E9</x:f>
        <x:v>4.488290713324361</x:v>
      </x:c>
      <x:c r="F38" s="195" t="n">
        <x:f>F37/F9</x:f>
        <x:v>4.4222222222222225</x:v>
      </x:c>
      <x:c r="G38" s="196" t="n">
        <x:f>G37/G9</x:f>
        <x:v>4.381296758104738</x:v>
      </x:c>
      <x:c r="H38" s="102"/>
    </x:row>
    <x:row r="39">
      <x:c r="A39" s="191" t="str">
        <x:v>EBITDA / total cash interest</x:v>
      </x:c>
      <x:c r="B39" s="192"/>
      <x:c r="C39" s="195" t="n">
        <x:f>C9/(-C11-C12)</x:f>
        <x:v>1.997340425531915</x:v>
      </x:c>
      <x:c r="D39" s="195" t="n">
        <x:f>D9/(-D11-D12)</x:f>
        <x:v>1.9283819628647214</x:v>
      </x:c>
      <x:c r="E39" s="195" t="n">
        <x:f>E9/(-E11-E12)</x:f>
        <x:v>1.9348958333333333</x:v>
      </x:c>
      <x:c r="F39" s="195" t="n">
        <x:f>F9/(-F11-F12)</x:f>
        <x:v>1.9694656488549618</x:v>
      </x:c>
      <x:c r="G39" s="196" t="n">
        <x:f>G9/(-G11-G12)</x:f>
        <x:v>1.9950248756218905</x:v>
      </x:c>
      <x:c r="H39" s="102"/>
    </x:row>
    <x:row r="40">
      <x:c r="A40" s="230" t="str">
        <x:v>Liquidity (cash + undrawn RCF; FY30 assumes replacement)</x:v>
      </x:c>
      <x:c r="B40" s="198"/>
      <x:c r="C40" s="199" t="n">
        <x:f>ROUND(C35+'Assumptions'!$B$10-C33,1)</x:f>
        <x:v>1289.7</x:v>
      </x:c>
      <x:c r="D40" s="199" t="n">
        <x:f>ROUND(D35+'Assumptions'!$B$10-D33,1)</x:f>
        <x:v>1194.2</x:v>
      </x:c>
      <x:c r="E40" s="199" t="n">
        <x:f>ROUND(E35+'Assumptions'!$B$10-E33,1)</x:f>
        <x:v>1068.7</x:v>
      </x:c>
      <x:c r="F40" s="199" t="n">
        <x:f>ROUND(F35+'Assumptions'!$B$10-F33,1)</x:f>
        <x:v>955.2</x:v>
      </x:c>
      <x:c r="G40" s="200" t="n">
        <x:f>ROUND(G35+'Assumptions'!$B$10-G33,1)</x:f>
        <x:v>838.7</x:v>
      </x:c>
      <x:c r="H40" s="102"/>
    </x:row>
    <x:row r="41">
      <x:c r="A41" s="240" t="str">
        <x:v>RCF balance requiring extension or replacement</x:v>
      </x:c>
      <x:c r="B41" s="241"/>
      <x:c r="C41" s="241"/>
      <x:c r="D41" s="241"/>
      <x:c r="E41" s="241"/>
      <x:c r="F41" s="241"/>
      <x:c r="G41" s="278" t="n">
        <x:f>G33</x:f>
        <x:v>461.3</x:v>
      </x:c>
    </x:row>
    <x:row r="42">
      <x:c r="A42" s="243" t="str">
        <x:v>RCF replacement needed to retain minimum cash</x:v>
      </x:c>
      <x:c r="B42" s="244"/>
      <x:c r="C42" s="244"/>
      <x:c r="D42" s="244"/>
      <x:c r="E42" s="244"/>
      <x:c r="F42" s="244"/>
      <x:c r="G42" s="279" t="n">
        <x:f>ROUND(MAX(0,G33-MAX(0,G35-'Assumptions'!$B$9)),1)</x:f>
        <x:v>461.3</x:v>
      </x:c>
    </x:row>
    <x:row r="43">
      <x:c r="A43" s="246" t="str">
        <x:v>Aug-2030 to Jan-2031 refinancing amount</x:v>
      </x:c>
      <x:c r="B43" s="247"/>
      <x:c r="C43" s="247"/>
      <x:c r="D43" s="247"/>
      <x:c r="E43" s="247"/>
      <x:c r="F43" s="247"/>
      <x:c r="G43" s="280" t="n">
        <x:f>ROUND(G23+G26+G33,1)</x:f>
        <x:v>2958.8</x:v>
      </x:c>
    </x:row>
    <x:row r="44">
      <x:c r="A44" t="str">
        <x:v>Unfunded need to retain minimum cash</x:v>
      </x:c>
      <x:c r="C44" s="39" t="n">
        <x:f>ROUND(MAX(0,'Assumptions'!$B$9-C35),1)</x:f>
        <x:v>0</x:v>
      </x:c>
      <x:c r="D44" s="39" t="n">
        <x:f>ROUND(MAX(0,'Assumptions'!$B$9-D35),1)</x:f>
        <x:v>0</x:v>
      </x:c>
      <x:c r="E44" s="39" t="n">
        <x:f>ROUND(MAX(0,'Assumptions'!$B$9-E35),1)</x:f>
        <x:v>0</x:v>
      </x:c>
      <x:c r="F44" s="39" t="n">
        <x:f>ROUND(MAX(0,'Assumptions'!$B$9-F35),1)</x:f>
        <x:v>0</x:v>
      </x:c>
      <x:c r="G44" s="39" t="n">
        <x:f>ROUND(MAX(0,'Assumptions'!$B$9-G35),1)</x:f>
        <x:v>0</x:v>
      </x:c>
    </x:row>
  </x:sheetData>
  <x:mergeCells>
    <x:mergeCell ref="A2:H2"/>
    <x:mergeCell ref="A5:G5"/>
    <x:mergeCell ref="A19:G19"/>
  </x:mergeCells>
  <x:conditionalFormatting sqref="C16:G16">
    <x:cfRule type="cellIs" dxfId="2" priority="1" operator="lessThan">
      <x:formula>0</x:formula>
    </x:cfRule>
  </x:conditionalFormatting>
  <x:conditionalFormatting sqref="C39:G39">
    <x:cfRule type="cellIs" dxfId="3" priority="2" operator="lessThan">
      <x:formula>2</x:formula>
    </x:cfRule>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7" hidden="0" customWidth="1"/>
    <x:col min="2" max="2" width="18" hidden="0" customWidth="1"/>
    <x:col min="3" max="3" width="18" hidden="0" customWidth="1"/>
    <x:col min="4" max="4" width="18" hidden="0" customWidth="1"/>
    <x:col min="5" max="5" width="18" hidden="0" customWidth="1"/>
    <x:col min="6" max="6" width="34" hidden="0" customWidth="1"/>
    <x:col min="7" max="7" width="20" hidden="0" customWidth="1"/>
  </x:cols>
  <x:sheetData>
    <x:row r="1" ht="27" customHeight="1">
      <x:c r="A1" s="5" t="str">
        <x:v>Morrisons debt capacity and underwriting terms</x:v>
      </x:c>
      <x:c r="B1" s="5"/>
      <x:c r="C1" s="5"/>
      <x:c r="D1" s="5"/>
      <x:c r="E1" s="5"/>
      <x:c r="F1" s="5"/>
      <x:c r="G1" s="5"/>
    </x:row>
    <x:row r="2" ht="20" customHeight="1">
      <x:c r="A2" s="101" t="str">
        <x:v>Illustrative lender view, July 2026. £m unless stated.</x:v>
      </x:c>
      <x:c r="B2" s="101" t="str">
        <x:v>Illustrative lender view, July 2026. £m unless stated.</x:v>
      </x:c>
      <x:c r="C2" s="101" t="str">
        <x:v>Illustrative lender view, July 2026. £m unless stated.</x:v>
      </x:c>
      <x:c r="D2" s="101" t="str">
        <x:v>Illustrative lender view, July 2026. £m unless stated.</x:v>
      </x:c>
      <x:c r="E2" s="101" t="str">
        <x:v>Illustrative lender view, July 2026. £m unless stated.</x:v>
      </x:c>
      <x:c r="F2" s="101" t="str">
        <x:v>Illustrative lender view, July 2026. £m unless stated.</x:v>
      </x:c>
      <x:c r="G2" s="101" t="str">
        <x:v>Illustrative lender view, July 2026. £m unless stated.</x:v>
      </x:c>
    </x:row>
    <x:row r="3">
      <x:c r="A3" s="102"/>
      <x:c r="B3" s="102"/>
      <x:c r="C3" s="102"/>
      <x:c r="D3" s="102"/>
      <x:c r="E3" s="102"/>
      <x:c r="F3" s="102"/>
      <x:c r="G3" s="102"/>
    </x:row>
    <x:row r="4">
      <x:c r="A4" s="11" t="str">
        <x:v>Pro Forma Capital Structure at Close</x:v>
      </x:c>
      <x:c r="B4" s="11" t="str">
        <x:v>Pro Forma Capital Structure at Close</x:v>
      </x:c>
      <x:c r="C4" s="11" t="str">
        <x:v>Pro Forma Capital Structure at Close</x:v>
      </x:c>
      <x:c r="D4" s="11" t="str">
        <x:v>Pro Forma Capital Structure at Close</x:v>
      </x:c>
      <x:c r="E4" s="11" t="str">
        <x:v>Pro Forma Capital Structure at Close</x:v>
      </x:c>
      <x:c r="F4" s="11" t="str">
        <x:v>Pro Forma Capital Structure at Close</x:v>
      </x:c>
      <x:c r="G4" s="11" t="str">
        <x:v>Pro Forma Capital Structure at Close</x:v>
      </x:c>
    </x:row>
    <x:row r="5">
      <x:c r="A5" s="133" t="str">
        <x:v>Instrument</x:v>
      </x:c>
      <x:c r="B5" s="133" t="str">
        <x:v>Opening principal</x:v>
      </x:c>
      <x:c r="C5" s="133" t="str">
        <x:v>Rate</x:v>
      </x:c>
      <x:c r="D5" s="133" t="str">
        <x:v>Maturity</x:v>
      </x:c>
      <x:c r="E5" s="133" t="str">
        <x:v>Security</x:v>
      </x:c>
      <x:c r="F5" s="133" t="str">
        <x:v>Annual amort.</x:v>
      </x:c>
      <x:c r="G5" s="133" t="str">
        <x:v>Comment</x:v>
      </x:c>
    </x:row>
    <x:row r="6" ht="48" customHeight="1">
      <x:c r="A6" s="102" t="str">
        <x:v>RCF</x:v>
      </x:c>
      <x:c r="B6" s="115" t="n">
        <x:f>'Base Case'!C30</x:f>
        <x:v>0</x:v>
      </x:c>
      <x:c r="C6" s="287" t="n">
        <x:f>'Assumptions'!B11</x:f>
        <x:v>0.075</x:v>
      </x:c>
      <x:c r="D6" s="124" t="str">
        <x:f>'Assumptions'!E12</x:f>
        <x:v>Aug-2030</x:v>
      </x:c>
      <x:c r="E6" s="102" t="str">
        <x:v>Super senior</x:v>
      </x:c>
      <x:c r="F6" s="136" t="n">
        <x:v>0</x:v>
      </x:c>
      <x:c r="G6" s="275" t="str">
        <x:f>"£"&amp;TEXT(Assumptions!B10,"#,##0")&amp;"m commitment; "&amp;Assumptions!E12&amp;" maturity, subject to springing mechanics"</x:f>
        <x:v>£1,000m commitment; Aug-2030 maturity, subject to springing mechanics</x:v>
      </x:c>
    </x:row>
    <x:row r="7" ht="48" customHeight="1">
      <x:c r="A7" s="102" t="str">
        <x:v>Existing term loans</x:v>
      </x:c>
      <x:c r="B7" s="115" t="n">
        <x:f>'Assumptions'!B12</x:f>
        <x:v>1650</x:v>
      </x:c>
      <x:c r="C7" s="287" t="n">
        <x:f>'Assumptions'!B13</x:f>
        <x:v>0.075</x:v>
      </x:c>
      <x:c r="D7" s="102" t="str">
        <x:v>Nov-2030</x:v>
      </x:c>
      <x:c r="E7" s="102" t="str">
        <x:v>First lien</x:v>
      </x:c>
      <x:c r="F7" s="116" t="n">
        <x:f>'Assumptions'!B14</x:f>
        <x:v>0.01</x:v>
      </x:c>
      <x:c r="G7" s="140" t="str">
        <x:v>Nov-2030 maturity subject to springing mechanics</x:v>
      </x:c>
    </x:row>
    <x:row r="8" ht="48" customHeight="1">
      <x:c r="A8" s="102" t="str">
        <x:v>2031 senior secured notes</x:v>
      </x:c>
      <x:c r="B8" s="115" t="n">
        <x:f>'Assumptions'!B15</x:f>
        <x:v>930</x:v>
      </x:c>
      <x:c r="C8" s="287" t="n">
        <x:f>'Assumptions'!B16</x:f>
        <x:v>0.0782</x:v>
      </x:c>
      <x:c r="D8" s="102" t="str">
        <x:v>Jan-2031</x:v>
      </x:c>
      <x:c r="E8" s="102" t="str">
        <x:v>First lien</x:v>
      </x:c>
      <x:c r="F8" s="136" t="n">
        <x:v>0</x:v>
      </x:c>
      <x:c r="G8" s="140" t="str">
        <x:v>£500m 8.75% + €500m 6.75%; fixed-rate</x:v>
      </x:c>
    </x:row>
    <x:row r="9" ht="48" customHeight="1">
      <x:c r="A9" s="102" t="str">
        <x:v>Proposed term-out facility</x:v>
      </x:c>
      <x:c r="B9" s="115" t="n">
        <x:f>'Assumptions'!B17</x:f>
        <x:v>900</x:v>
      </x:c>
      <x:c r="C9" s="287" t="n">
        <x:f>'Assumptions'!B18</x:f>
        <x:v>0.0825</x:v>
      </x:c>
      <x:c r="D9" s="102" t="str">
        <x:v>Aug-2032</x:v>
      </x:c>
      <x:c r="E9" s="102" t="str">
        <x:v>First lien</x:v>
      </x:c>
      <x:c r="F9" s="116" t="n">
        <x:f>'Assumptions'!B19</x:f>
        <x:v>0.01</x:v>
      </x:c>
      <x:c r="G9" s="275" t="str">
        <x:f>"Refinances 2027 / 2028 notes; £"&amp;TEXT(Assumptions!G7,"#,##0.0")&amp;"m proceeds at "&amp;TEXT(Assumptions!E7*100,"0")&amp;" OID"</x:f>
        <x:v>Refinances 2027 / 2028 notes; £891.0m proceeds at 99 OID</x:v>
      </x:c>
    </x:row>
    <x:row r="10">
      <x:c r="A10" s="119" t="str">
        <x:v>Total gross debt</x:v>
      </x:c>
      <x:c r="B10" s="281" t="n">
        <x:f>SUM(B6:B9)</x:f>
        <x:v>3480</x:v>
      </x:c>
      <x:c r="C10" s="119"/>
      <x:c r="D10" s="119"/>
      <x:c r="E10" s="119"/>
      <x:c r="F10" s="119"/>
      <x:c r="G10" s="119"/>
    </x:row>
    <x:row r="11">
      <x:c r="A11" s="102"/>
      <x:c r="B11" s="102"/>
      <x:c r="C11" s="102"/>
      <x:c r="D11" s="102"/>
      <x:c r="E11" s="102"/>
      <x:c r="F11" s="102"/>
      <x:c r="G11" s="102"/>
    </x:row>
    <x:row r="12">
      <x:c r="A12" s="102"/>
      <x:c r="B12" s="102"/>
      <x:c r="C12" s="102"/>
      <x:c r="D12" s="102"/>
      <x:c r="E12" s="102"/>
      <x:c r="F12" s="102"/>
      <x:c r="G12" s="102"/>
    </x:row>
    <x:row r="13">
      <x:c r="A13" s="11" t="str">
        <x:v>Recommended Terms</x:v>
      </x:c>
      <x:c r="B13" s="11" t="str">
        <x:v>Recommended Terms</x:v>
      </x:c>
      <x:c r="C13" s="11" t="str">
        <x:v>Recommended Terms</x:v>
      </x:c>
      <x:c r="D13" s="11" t="str">
        <x:v>Recommended Terms</x:v>
      </x:c>
      <x:c r="E13" s="11" t="str">
        <x:v>Recommended Terms</x:v>
      </x:c>
      <x:c r="F13" s="11" t="str">
        <x:v>Recommended Terms</x:v>
      </x:c>
      <x:c r="G13" s="11" t="str">
        <x:v>Recommended Terms</x:v>
      </x:c>
    </x:row>
    <x:row r="14">
      <x:c r="A14" s="138" t="str">
        <x:v>Decision</x:v>
      </x:c>
      <x:c r="B14" s="139" t="str">
        <x:v>APPROVE WITH CONDITIONS</x:v>
      </x:c>
      <x:c r="C14" s="139"/>
      <x:c r="D14" s="139"/>
      <x:c r="E14" s="139"/>
      <x:c r="F14" s="139"/>
      <x:c r="G14" s="139"/>
    </x:row>
    <x:row r="15">
      <x:c r="A15" s="103" t="str">
        <x:v>Facility</x:v>
      </x:c>
      <x:c r="B15" s="275" t="str">
        <x:f>"£"&amp;TEXT(Assumptions!B17,"#,##0")&amp;"m senior secured term loan; indicative Aug-2032 maturity"</x:f>
        <x:v>£900m senior secured term loan; indicative Aug-2032 maturity</x:v>
      </x:c>
      <x:c r="C15" s="140"/>
      <x:c r="D15" s="140"/>
      <x:c r="E15" s="140"/>
      <x:c r="F15" s="140"/>
      <x:c r="G15" s="140"/>
    </x:row>
    <x:row r="16">
      <x:c r="A16" s="103" t="str">
        <x:v>Pricing</x:v>
      </x:c>
      <x:c r="B16" s="275" t="str">
        <x:f>"SONIA + 450 bps, 50 bps floor; "&amp;TEXT(Assumptions!E7*100,"0")&amp;" OID; "&amp;TEXT(Assumptions!B19,"0.0%")&amp;" annual amortisation"</x:f>
        <x:v>SONIA + 450 bps, 50 bps floor; 99 OID; 1.0% annual amortisation</x:v>
      </x:c>
      <x:c r="C16" s="140"/>
      <x:c r="D16" s="140"/>
      <x:c r="E16" s="140"/>
      <x:c r="F16" s="140"/>
      <x:c r="G16" s="140"/>
    </x:row>
    <x:row r="17">
      <x:c r="A17" s="103" t="str">
        <x:v>Cash sweep</x:v>
      </x:c>
      <x:c r="B17" s="275" t="str">
        <x:f>"Proposed term-out: "&amp;TEXT(Assumptions!B20,"0%")&amp;" at / above "&amp;TEXT(Assumptions!E21,"0.00")&amp;"x; "&amp;TEXT(Assumptions!E20,"0%")&amp;" from "&amp;TEXT(Assumptions!E22,"0.00")&amp;"x to below "&amp;TEXT(Assumptions!E21,"0.00")&amp;"x; 0% below "&amp;TEXT(Assumptions!E22,"0.00")&amp;"x"</x:f>
        <x:v>Proposed term-out: 50% at / above 3.25x; 25% from 2.75x to below 3.25x; 0% below 2.75x</x:v>
      </x:c>
      <x:c r="C17" s="140"/>
      <x:c r="D17" s="140"/>
      <x:c r="E17" s="140"/>
      <x:c r="F17" s="140"/>
      <x:c r="G17" s="140"/>
    </x:row>
    <x:row r="18">
      <x:c r="A18" s="103" t="str">
        <x:v>Liquidity</x:v>
      </x:c>
      <x:c r="B18" s="275" t="str">
        <x:f>"Minimum £"&amp;TEXT(Assumptions!B9,"#,##0")&amp;"m cash and £500m total liquidity; RCF extended / replaced by Aug-2029"</x:f>
        <x:v>Minimum £300m cash and £500m total liquidity; RCF extended / replaced by Aug-2029</x:v>
      </x:c>
      <x:c r="C18" s="140"/>
      <x:c r="D18" s="140"/>
      <x:c r="E18" s="140"/>
      <x:c r="F18" s="140"/>
      <x:c r="G18" s="140"/>
    </x:row>
    <x:row r="19">
      <x:c r="A19" s="103" t="str">
        <x:v>Covenant</x:v>
      </x:c>
      <x:c r="B19" s="140" t="str">
        <x:v>5.25x first-lien net leverage springing when RCF &gt;40% drawn</x:v>
      </x:c>
      <x:c r="C19" s="140"/>
      <x:c r="D19" s="140"/>
      <x:c r="E19" s="140"/>
      <x:c r="F19" s="140"/>
      <x:c r="G19" s="140"/>
    </x:row>
    <x:row r="20">
      <x:c r="A20" s="103" t="str">
        <x:v>Restricted payments</x:v>
      </x:c>
      <x:c r="B20" s="140" t="str">
        <x:v>Blocked if total net leverage &gt;3.50x or pro forma liquidity &lt;£500m</x:v>
      </x:c>
      <x:c r="C20" s="140"/>
      <x:c r="D20" s="140"/>
      <x:c r="E20" s="140"/>
      <x:c r="F20" s="140"/>
      <x:c r="G20" s="140"/>
    </x:row>
    <x:row r="21">
      <x:c r="A21" s="103" t="str">
        <x:v>Guarantor / security</x:v>
      </x:c>
      <x:c r="B21" s="140" t="str">
        <x:v>At least 80% of consolidated EBITDA covered by guarantors</x:v>
      </x:c>
      <x:c r="C21" s="140"/>
      <x:c r="D21" s="140"/>
      <x:c r="E21" s="140"/>
      <x:c r="F21" s="140"/>
      <x:c r="G21" s="140"/>
    </x:row>
    <x:row r="22" ht="36" customHeight="1">
      <x:c r="A22" s="251" t="str">
        <x:v>2030-31 refinancing</x:v>
      </x:c>
      <x:c r="B22" s="253" t="str">
        <x:v>Plan required for Nov-2030 term loans and Jan-2031 notes by Aug-2029</x:v>
      </x:c>
      <x:c r="C22" s="253"/>
      <x:c r="D22" s="253"/>
      <x:c r="E22" s="253"/>
      <x:c r="F22" s="253"/>
      <x:c r="G22" s="253"/>
    </x:row>
    <x:row r="23">
      <x:c r="A23" s="102"/>
      <x:c r="B23" s="102"/>
      <x:c r="C23" s="102"/>
      <x:c r="D23" s="102"/>
      <x:c r="E23" s="102"/>
      <x:c r="F23" s="102"/>
      <x:c r="G23" s="102"/>
    </x:row>
    <x:row r="24">
      <x:c r="A24" s="11" t="str">
        <x:v>Base / Downside Metrics</x:v>
      </x:c>
      <x:c r="B24" s="11" t="str">
        <x:v>Base / Downside Metrics</x:v>
      </x:c>
      <x:c r="C24" s="11" t="str">
        <x:v>Base / Downside Metrics</x:v>
      </x:c>
      <x:c r="D24" s="11" t="str">
        <x:v>Base / Downside Metrics</x:v>
      </x:c>
      <x:c r="E24" s="11" t="str">
        <x:v>Base / Downside Metrics</x:v>
      </x:c>
      <x:c r="F24" s="11" t="str">
        <x:v>Base / Downside Metrics</x:v>
      </x:c>
      <x:c r="G24" s="11" t="str">
        <x:v>Base / Downside Metrics</x:v>
      </x:c>
    </x:row>
    <x:row r="25">
      <x:c r="A25" s="133" t="str">
        <x:v>Metric</x:v>
      </x:c>
      <x:c r="B25" s="133" t="str">
        <x:v>2026E Base</x:v>
      </x:c>
      <x:c r="C25" s="133" t="str">
        <x:v>2026E Downside</x:v>
      </x:c>
      <x:c r="D25" s="133" t="str">
        <x:v>2030E Base</x:v>
      </x:c>
      <x:c r="E25" s="133" t="str">
        <x:v>2030E Downside</x:v>
      </x:c>
      <x:c r="F25" s="133" t="str">
        <x:v>Underwriting view</x:v>
      </x:c>
      <x:c r="G25" s="102"/>
    </x:row>
    <x:row r="26" ht="32" customHeight="1">
      <x:c r="A26" s="102" t="str">
        <x:v>Revenue</x:v>
      </x:c>
      <x:c r="B26" s="117" t="n">
        <x:f>'Base Case'!C6</x:f>
        <x:v>16227</x:v>
      </x:c>
      <x:c r="C26" s="117" t="n">
        <x:f>'Downside'!C6</x:f>
        <x:v>15800</x:v>
      </x:c>
      <x:c r="D26" s="117" t="n">
        <x:f>'Base Case'!G6</x:f>
        <x:v>17703</x:v>
      </x:c>
      <x:c r="E26" s="117" t="n">
        <x:f>'Downside'!G6</x:f>
        <x:v>16035</x:v>
      </x:c>
      <x:c r="F26" s="140" t="str">
        <x:v>Stable category; pricing / volumes remain competitive</x:v>
      </x:c>
      <x:c r="G26" s="140"/>
    </x:row>
    <x:row r="27" ht="32" customHeight="1">
      <x:c r="A27" s="102" t="str">
        <x:v>EBITDA</x:v>
      </x:c>
      <x:c r="B27" s="117" t="n">
        <x:f>'Base Case'!C9</x:f>
        <x:v>868</x:v>
      </x:c>
      <x:c r="C27" s="117" t="n">
        <x:f>'Downside'!C9</x:f>
        <x:v>751</x:v>
      </x:c>
      <x:c r="D27" s="117" t="n">
        <x:f>'Base Case'!G9</x:f>
        <x:v>1000</x:v>
      </x:c>
      <x:c r="E27" s="117" t="n">
        <x:f>'Downside'!G9</x:f>
        <x:v>802</x:v>
      </x:c>
      <x:c r="F27" s="140" t="str">
        <x:v>Downside tests margin compression below FY25A</x:v>
      </x:c>
      <x:c r="G27" s="140"/>
    </x:row>
    <x:row r="28" ht="32" customHeight="1">
      <x:c r="A28" s="102" t="str">
        <x:v>Cash flow before debt paydown</x:v>
      </x:c>
      <x:c r="B28" s="117" t="n">
        <x:f>'Base Case'!C16</x:f>
        <x:v>34</x:v>
      </x:c>
      <x:c r="C28" s="117" t="n">
        <x:f>'Downside'!C16</x:f>
        <x:v>-25</x:v>
      </x:c>
      <x:c r="D28" s="117" t="n">
        <x:f>'Base Case'!G16</x:f>
        <x:v>43</x:v>
      </x:c>
      <x:c r="E28" s="117" t="n">
        <x:f>'Downside'!G16</x:f>
        <x:v>-91</x:v>
      </x:c>
      <x:c r="F28" s="140" t="str">
        <x:v>Tight at entry; improves with earnings and lower debt</x:v>
      </x:c>
      <x:c r="G28" s="140"/>
    </x:row>
    <x:row r="29" ht="32" customHeight="1">
      <x:c r="A29" s="102" t="str">
        <x:v>Net leverage</x:v>
      </x:c>
      <x:c r="B29" s="282" t="n">
        <x:f>'Base Case'!C38</x:f>
        <x:v>3.5781105990783413</x:v>
      </x:c>
      <x:c r="C29" s="282" t="n">
        <x:f>'Downside'!C38</x:f>
        <x:v>4.214114513981358</x:v>
      </x:c>
      <x:c r="D29" s="282" t="n">
        <x:f>'Base Case'!G38</x:f>
        <x:v>2.9538</x:v>
      </x:c>
      <x:c r="E29" s="282" t="n">
        <x:f>'Downside'!G38</x:f>
        <x:v>4.381296758104738</x:v>
      </x:c>
      <x:c r="F29" s="140" t="str">
        <x:v>4.5x underwriting guardrail has little cushion; not a legal covenant test</x:v>
      </x:c>
      <x:c r="G29" s="140"/>
    </x:row>
    <x:row r="30" ht="32" customHeight="1">
      <x:c r="A30" s="102" t="str">
        <x:v>EBITDA / cash interest</x:v>
      </x:c>
      <x:c r="B30" s="282" t="n">
        <x:f>'Base Case'!C39</x:f>
        <x:v>2.3085106382978724</x:v>
      </x:c>
      <x:c r="C30" s="282" t="n">
        <x:f>'Downside'!C39</x:f>
        <x:v>1.997340425531915</x:v>
      </x:c>
      <x:c r="D30" s="282" t="n">
        <x:f>'Base Case'!G39</x:f>
        <x:v>2.6954177897574123</x:v>
      </x:c>
      <x:c r="E30" s="282" t="n">
        <x:f>'Downside'!G39</x:f>
        <x:v>1.9950248756218905</x:v>
      </x:c>
      <x:c r="F30" s="140" t="str">
        <x:v>Downside floor near 1.9x is thin but serviceable</x:v>
      </x:c>
      <x:c r="G30" s="140"/>
    </x:row>
    <x:row r="31" ht="32" customHeight="1">
      <x:c r="A31" s="102" t="str">
        <x:v>Liquidity (FY30 conditional)</x:v>
      </x:c>
      <x:c r="B31" s="115" t="n">
        <x:f>'Base Case'!C40</x:f>
        <x:v>1324.4</x:v>
      </x:c>
      <x:c r="C31" s="115" t="n">
        <x:f>'Downside'!C40</x:f>
        <x:v>1289.7</x:v>
      </x:c>
      <x:c r="D31" s="115" t="n">
        <x:f>'Base Case'!G40</x:f>
        <x:v>1332.2</x:v>
      </x:c>
      <x:c r="E31" s="115" t="n">
        <x:f>'Downside'!G40</x:f>
        <x:v>838.7</x:v>
      </x:c>
      <x:c r="F31" s="140" t="str">
        <x:v>FY30 requires an RCF extension or replacement; otherwise refinancing is required</x:v>
      </x:c>
      <x:c r="G31" s="140"/>
    </x:row>
    <x:row r="32">
      <x:c r="A32" s="102"/>
      <x:c r="B32" s="102"/>
      <x:c r="C32" s="102"/>
      <x:c r="D32" s="102"/>
      <x:c r="E32" s="102"/>
      <x:c r="F32" s="102"/>
      <x:c r="G32" s="102"/>
    </x:row>
    <x:row r="33">
      <x:c r="A33" s="102"/>
      <x:c r="B33" s="102"/>
      <x:c r="C33" s="102"/>
      <x:c r="D33" s="102"/>
      <x:c r="E33" s="102"/>
      <x:c r="F33" s="102"/>
      <x:c r="G33" s="102"/>
    </x:row>
    <x:row r="34">
      <x:c r="A34" s="11" t="str">
        <x:v>Interest Coverage Sensitivity - 2026E</x:v>
      </x:c>
      <x:c r="B34" s="11" t="str">
        <x:v>Interest Coverage Sensitivity — 2026E</x:v>
      </x:c>
      <x:c r="C34" s="11" t="str">
        <x:v>Interest Coverage Sensitivity — 2026E</x:v>
      </x:c>
      <x:c r="D34" s="11" t="str">
        <x:v>Interest Coverage Sensitivity — 2026E</x:v>
      </x:c>
      <x:c r="E34" s="11" t="str">
        <x:v>Interest Coverage Sensitivity — 2026E</x:v>
      </x:c>
      <x:c r="F34" s="11" t="str">
        <x:v>Interest Coverage Sensitivity — 2026E</x:v>
      </x:c>
      <x:c r="G34" s="11" t="str">
        <x:v>Interest Coverage Sensitivity — 2026E</x:v>
      </x:c>
    </x:row>
    <x:row r="35">
      <x:c r="A35" s="108" t="str">
        <x:v>EBITDA haircut</x:v>
      </x:c>
      <x:c r="B35" s="108" t="str">
        <x:v>No rate shock</x:v>
      </x:c>
      <x:c r="C35" s="108" t="str">
        <x:v>+100 bps</x:v>
      </x:c>
      <x:c r="D35" s="108" t="str">
        <x:v>+200 bps</x:v>
      </x:c>
      <x:c r="E35" s="108" t="str">
        <x:v>Interpretation</x:v>
      </x:c>
      <x:c r="F35" s="102"/>
      <x:c r="G35" s="102"/>
    </x:row>
    <x:row r="36">
      <x:c r="A36" s="141" t="n">
        <x:v>0</x:v>
      </x:c>
      <x:c r="B36" s="282" t="n">
        <x:f>('Base Case'!$C$9*(1-$A36))/(-'Base Case'!$C$11-'Base Case'!$C$12+(('Debt Capacity'!$B$7+'Debt Capacity'!$B$9)*0))</x:f>
        <x:v>2.3085106382978724</x:v>
      </x:c>
      <x:c r="C36" s="282" t="n">
        <x:f>('Base Case'!$C$9*(1-$A36))/(-'Base Case'!$C$11-'Base Case'!$C$12+(('Debt Capacity'!$B$7+'Debt Capacity'!$B$9)*0.01))</x:f>
        <x:v>2.161892901618929</x:v>
      </x:c>
      <x:c r="D36" s="282" t="n">
        <x:f>('Base Case'!$C$9*(1-$A36))/(-'Base Case'!$C$11-'Base Case'!$C$12+(('Debt Capacity'!$B$7+'Debt Capacity'!$B$9)*0.02))</x:f>
        <x:v>2.0327868852459017</x:v>
      </x:c>
      <x:c r="E36" s="102" t="str">
        <x:v>Base case</x:v>
      </x:c>
      <x:c r="F36" s="102"/>
      <x:c r="G36" s="102"/>
    </x:row>
    <x:row r="37">
      <x:c r="A37" s="141" t="n">
        <x:v>0.1</x:v>
      </x:c>
      <x:c r="B37" s="282" t="n">
        <x:f>('Base Case'!$C$9*(1-$A37))/(-'Base Case'!$C$11-'Base Case'!$C$12+(('Debt Capacity'!$B$7+'Debt Capacity'!$B$9)*0))</x:f>
        <x:v>2.0776595744680852</x:v>
      </x:c>
      <x:c r="C37" s="282" t="n">
        <x:f>('Base Case'!$C$9*(1-$A37))/(-'Base Case'!$C$11-'Base Case'!$C$12+(('Debt Capacity'!$B$7+'Debt Capacity'!$B$9)*0.01))</x:f>
        <x:v>1.9457036114570363</x:v>
      </x:c>
      <x:c r="D37" s="282" t="n">
        <x:f>('Base Case'!$C$9*(1-$A37))/(-'Base Case'!$C$11-'Base Case'!$C$12+(('Debt Capacity'!$B$7+'Debt Capacity'!$B$9)*0.02))</x:f>
        <x:v>1.8295081967213116</x:v>
      </x:c>
      <x:c r="E37" s="102" t="str">
        <x:v>Moderate operating stress</x:v>
      </x:c>
      <x:c r="F37" s="102"/>
      <x:c r="G37" s="102"/>
    </x:row>
    <x:row r="38">
      <x:c r="A38" s="141" t="n">
        <x:v>0.2</x:v>
      </x:c>
      <x:c r="B38" s="282" t="n">
        <x:f>('Base Case'!$C$9*(1-$A38))/(-'Base Case'!$C$11-'Base Case'!$C$12+(('Debt Capacity'!$B$7+'Debt Capacity'!$B$9)*0))</x:f>
        <x:v>1.846808510638298</x:v>
      </x:c>
      <x:c r="C38" s="282" t="n">
        <x:f>('Base Case'!$C$9*(1-$A38))/(-'Base Case'!$C$11-'Base Case'!$C$12+(('Debt Capacity'!$B$7+'Debt Capacity'!$B$9)*0.01))</x:f>
        <x:v>1.7295143212951434</x:v>
      </x:c>
      <x:c r="D38" s="282" t="n">
        <x:f>('Base Case'!$C$9*(1-$A38))/(-'Base Case'!$C$11-'Base Case'!$C$12+(('Debt Capacity'!$B$7+'Debt Capacity'!$B$9)*0.02))</x:f>
        <x:v>1.6262295081967215</x:v>
      </x:c>
      <x:c r="E38" s="102" t="str">
        <x:v>Severe operating stress</x:v>
      </x:c>
      <x:c r="F38" s="102"/>
      <x:c r="G38" s="102"/>
    </x:row>
    <x:row r="39">
      <x:c r="A39" s="141" t="n">
        <x:v>0.25</x:v>
      </x:c>
      <x:c r="B39" s="282" t="n">
        <x:f>('Base Case'!$C$9*(1-$A39))/(-'Base Case'!$C$11-'Base Case'!$C$12+(('Debt Capacity'!$B$7+'Debt Capacity'!$B$9)*0))</x:f>
        <x:v>1.7313829787234043</x:v>
      </x:c>
      <x:c r="C39" s="282" t="n">
        <x:f>('Base Case'!$C$9*(1-$A39))/(-'Base Case'!$C$11-'Base Case'!$C$12+(('Debt Capacity'!$B$7+'Debt Capacity'!$B$9)*0.01))</x:f>
        <x:v>1.6214196762141968</x:v>
      </x:c>
      <x:c r="D39" s="282" t="n">
        <x:f>('Base Case'!$C$9*(1-$A39))/(-'Base Case'!$C$11-'Base Case'!$C$12+(('Debt Capacity'!$B$7+'Debt Capacity'!$B$9)*0.02))</x:f>
        <x:v>1.5245901639344261</x:v>
      </x:c>
      <x:c r="E39" s="102" t="str">
        <x:v>Severe + persistent stress</x:v>
      </x:c>
      <x:c r="F39" s="102"/>
      <x:c r="G39" s="102"/>
    </x:row>
    <x:row r="40" ht="62" customHeight="1">
      <x:c r="A40" s="102"/>
      <x:c r="B40" s="102"/>
      <x:c r="C40" s="102"/>
      <x:c r="D40" s="102"/>
      <x:c r="E40" s="140" t="str">
        <x:v>Static FY26 coverage sensitivity: shocks floating existing term loans and proposed term-out; fixed 2031 notes excluded. No integrated leverage/liquidity reforecast. Commitment fees excluded.</x:v>
      </x:c>
      <x:c r="F40" s="140"/>
      <x:c r="G40" s="140"/>
    </x:row>
  </x:sheetData>
  <x:mergeCells>
    <x:mergeCell ref="A2:G2"/>
    <x:mergeCell ref="A4:G4"/>
    <x:mergeCell ref="A13:G13"/>
    <x:mergeCell ref="B14:G14"/>
    <x:mergeCell ref="B15:G15"/>
    <x:mergeCell ref="B16:G16"/>
    <x:mergeCell ref="B17:G17"/>
    <x:mergeCell ref="B18:G18"/>
    <x:mergeCell ref="B19:G19"/>
    <x:mergeCell ref="B20:G20"/>
    <x:mergeCell ref="B21:G21"/>
    <x:mergeCell ref="A24:G24"/>
    <x:mergeCell ref="A34:G34"/>
    <x:mergeCell ref="E40:G40"/>
    <x:mergeCell ref="B22:G22"/>
    <x:mergeCell ref="F26:G26"/>
    <x:mergeCell ref="F27:G27"/>
    <x:mergeCell ref="F28:G28"/>
    <x:mergeCell ref="F29:G29"/>
    <x:mergeCell ref="F30:G30"/>
    <x:mergeCell ref="F31:G31"/>
  </x:mergeCells>
  <x:conditionalFormatting sqref="B36:D39">
    <x:cfRule type="cellIs" dxfId="4" priority="1" operator="lessThan">
      <x:formula>1.8</x:formula>
    </x:cfRule>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8" hidden="0" customWidth="1"/>
    <x:col min="2" max="2" width="34" hidden="0" customWidth="1"/>
    <x:col min="3" max="3" width="16" hidden="0" customWidth="1"/>
    <x:col min="4" max="4" width="38" hidden="0" customWidth="1"/>
    <x:col min="5" max="5" width="45" hidden="0" customWidth="1"/>
    <x:col min="6" max="6" width="12" hidden="0" customWidth="1"/>
    <x:col min="7" max="7" width="12" hidden="0" customWidth="1"/>
    <x:col min="8" max="8" width="12" hidden="0" customWidth="1"/>
  </x:cols>
  <x:sheetData>
    <x:row r="1" ht="27" customHeight="1">
      <x:c r="A1" s="5" t="str">
        <x:v>Sources, Methodology &amp; Model Checks</x:v>
      </x:c>
      <x:c r="B1" s="5"/>
      <x:c r="C1" s="5"/>
      <x:c r="D1" s="5"/>
      <x:c r="E1" s="5"/>
      <x:c r="F1" s="5"/>
      <x:c r="G1" s="5"/>
      <x:c r="H1" s="5"/>
    </x:row>
    <x:row r="2" ht="20" customHeight="1">
      <x:c r="A2" s="101" t="str">
        <x:v>Information cut-off: 17 June 2026. Public information only.</x:v>
      </x:c>
      <x:c r="B2" s="101" t="str">
        <x:v>Information cut-off: 17 June 2026. Public information only.</x:v>
      </x:c>
      <x:c r="C2" s="101" t="str">
        <x:v>Information cut-off: 17 June 2026. Public information only.</x:v>
      </x:c>
      <x:c r="D2" s="101" t="str">
        <x:v>Information cut-off: 17 June 2026. Public information only.</x:v>
      </x:c>
      <x:c r="E2" s="101" t="str">
        <x:v>Information cut-off: 17 June 2026. Public information only.</x:v>
      </x:c>
      <x:c r="F2" s="101" t="str">
        <x:v>Information cut-off: 17 June 2026. Public information only.</x:v>
      </x:c>
      <x:c r="G2" s="101" t="str">
        <x:v>Information cut-off: 17 June 2026. Public information only.</x:v>
      </x:c>
      <x:c r="H2" s="101" t="str">
        <x:v>Information cut-off: 17 June 2026. Public information only.</x:v>
      </x:c>
    </x:row>
    <x:row r="3">
      <x:c r="A3" s="102"/>
      <x:c r="B3" s="102"/>
      <x:c r="C3" s="102"/>
      <x:c r="D3" s="102"/>
      <x:c r="E3" s="102"/>
      <x:c r="F3" s="102"/>
      <x:c r="G3" s="102"/>
      <x:c r="H3" s="102"/>
    </x:row>
    <x:row r="4">
      <x:c r="A4" s="11" t="str">
        <x:v>Primary / Market Sources</x:v>
      </x:c>
      <x:c r="B4" s="11" t="str">
        <x:v>Primary / Market Sources</x:v>
      </x:c>
      <x:c r="C4" s="11" t="str">
        <x:v>Primary / Market Sources</x:v>
      </x:c>
      <x:c r="D4" s="11" t="str">
        <x:v>Primary / Market Sources</x:v>
      </x:c>
      <x:c r="E4" s="11" t="str">
        <x:v>Primary / Market Sources</x:v>
      </x:c>
      <x:c r="F4" s="11" t="str">
        <x:v>Primary / Market Sources</x:v>
      </x:c>
      <x:c r="G4" s="11" t="str">
        <x:v>Primary / Market Sources</x:v>
      </x:c>
      <x:c r="H4" s="11" t="str">
        <x:v>Primary / Market Sources</x:v>
      </x:c>
    </x:row>
    <x:row r="5">
      <x:c r="A5" s="133" t="str">
        <x:v>#</x:v>
      </x:c>
      <x:c r="B5" s="133" t="str">
        <x:v>Source</x:v>
      </x:c>
      <x:c r="C5" s="133" t="str">
        <x:v>Release / filing date</x:v>
      </x:c>
      <x:c r="D5" s="133" t="str">
        <x:v>Use in model</x:v>
      </x:c>
      <x:c r="E5" s="133" t="str">
        <x:v>URL</x:v>
      </x:c>
      <x:c r="F5" s="102"/>
      <x:c r="G5" s="102"/>
      <x:c r="H5" s="102"/>
    </x:row>
    <x:row r="6" ht="58" customHeight="1">
      <x:c r="A6" s="102" t="n">
        <x:v>1</x:v>
      </x:c>
      <x:c r="B6" s="102" t="str">
        <x:v>Market Bidco Limited FY2024 annual report</x:v>
      </x:c>
      <x:c r="C6" s="102" t="str">
        <x:v>01-Aug-2025</x:v>
      </x:c>
      <x:c r="D6" s="140" t="str">
        <x:v>FY ended 27-Oct-2024: cash flow p29; interest p57; RCF fees p58; liquidity p63; EBITDA p86</x:v>
      </x:c>
      <x:c r="E6" s="143" t="str">
        <x:v>https://find-and-update.company-information.service.gov.uk/company/13537474/filing-history/MzQ3NTgxNzc3N2FkaXF6a2N4/document?format=pdf&amp;download=0</x:v>
      </x:c>
      <x:c r="F6" s="102"/>
      <x:c r="G6" s="102"/>
      <x:c r="H6" s="102"/>
    </x:row>
    <x:row r="7" ht="48" customHeight="1">
      <x:c r="A7" s="102" t="n">
        <x:v>2</x:v>
      </x:c>
      <x:c r="B7" s="102" t="str">
        <x:v>Morrisons FY2024/25 results</x:v>
      </x:c>
      <x:c r="C7" s="102" t="str">
        <x:v>21-Jan-2026</x:v>
      </x:c>
      <x:c r="D7" s="140" t="str">
        <x:v>FY25A revenue, EBITDA, cost headwinds and savings</x:v>
      </x:c>
      <x:c r="E7" s="143" t="str">
        <x:v>https://www.morrisons-corporate.com/media-centre/corporate-news/morrisons-full-year-202425-results-and-christmas-2025-trading-update/</x:v>
      </x:c>
      <x:c r="F7" s="102"/>
      <x:c r="G7" s="102"/>
      <x:c r="H7" s="102"/>
    </x:row>
    <x:row r="8" ht="32" customHeight="1">
      <x:c r="A8" s="102" t="n">
        <x:v>3</x:v>
      </x:c>
      <x:c r="B8" s="102" t="str">
        <x:v>Morrisons Q2 FY2025/26 update</x:v>
      </x:c>
      <x:c r="C8" s="102" t="str">
        <x:v>17-Jun-2026</x:v>
      </x:c>
      <x:c r="D8" s="140" t="str">
        <x:v>Current trading, H1 EBITDA and savings progress</x:v>
      </x:c>
      <x:c r="E8" s="143" t="str">
        <x:v>https://www.morrisons-corporate.com/media-centre/corporate-news/morrisons-trading-update-for-q2-202526/</x:v>
      </x:c>
      <x:c r="F8" s="102"/>
      <x:c r="G8" s="102"/>
      <x:c r="H8" s="102"/>
    </x:row>
    <x:row r="9" ht="32" customHeight="1">
      <x:c r="A9" s="102" t="n">
        <x:v>4</x:v>
      </x:c>
      <x:c r="B9" s="102" t="str">
        <x:v>Morrisons Q3 FY2024/25 update</x:v>
      </x:c>
      <x:c r="C9" s="102" t="str">
        <x:v>17-Sep-2025</x:v>
      </x:c>
      <x:c r="D9" s="140" t="str">
        <x:v>Post-refinancing gross debt c.£3.5bn and £261m reduction</x:v>
      </x:c>
      <x:c r="E9" s="143" t="str">
        <x:v>https://www.morrisons-corporate.com/media-centre/corporate-news/morrisons-trading-update-for-q3-202425/</x:v>
      </x:c>
      <x:c r="F9" s="102"/>
      <x:c r="G9" s="102"/>
      <x:c r="H9" s="102"/>
    </x:row>
    <x:row r="10" ht="32" customHeight="1">
      <x:c r="A10" s="102" t="n">
        <x:v>5</x:v>
      </x:c>
      <x:c r="B10" s="102" t="str">
        <x:v>2025 partial delisting of 2027 notes</x:v>
      </x:c>
      <x:c r="C10" s="102" t="str">
        <x:v>22-Jul-2025</x:v>
      </x:c>
      <x:c r="D10" s="140" t="str">
        <x:v>Residual GBP and EUR 2027 secured notes after tender</x:v>
      </x:c>
      <x:c r="E10" s="143" t="str">
        <x:v>https://www.tisegroup.com/market/news/349709</x:v>
      </x:c>
      <x:c r="F10" s="102"/>
      <x:c r="G10" s="102"/>
      <x:c r="H10" s="102"/>
    </x:row>
    <x:row r="11" ht="52" customHeight="1">
      <x:c r="A11" s="102" t="n">
        <x:v>6</x:v>
      </x:c>
      <x:c r="B11" s="102" t="str">
        <x:v>2024 loan amendment and extension</x:v>
      </x:c>
      <x:c r="C11" s="102" t="str">
        <x:v>18-Nov-2024</x:v>
      </x:c>
      <x:c r="D11" s="140" t="str">
        <x:v>Certain term loans Nov-2030; RCF Aug-2030, subject to customary springing mechanics; £200m reduction</x:v>
      </x:c>
      <x:c r="E11" s="143" t="str">
        <x:v>https://www.investegate.co.uk/announcement/rns/wm-morrison-supermarkets-limited--99wz/amendment-and-extension-of-senior-loan-facilities/8556711</x:v>
      </x:c>
      <x:c r="F11" s="102"/>
      <x:c r="G11" s="102"/>
      <x:c r="H11" s="102"/>
    </x:row>
    <x:row r="12" ht="32" customHeight="1">
      <x:c r="A12" s="102" t="n">
        <x:v>7</x:v>
      </x:c>
      <x:c r="B12" s="102" t="str">
        <x:v>TISE GBP 2031 notes listing</x:v>
      </x:c>
      <x:c r="C12" s="102" t="str">
        <x:v>23-Sep-2025</x:v>
      </x:c>
      <x:c r="D12" s="140" t="str">
        <x:v>£500m 8.75% secured notes; Information tab: 31-Jan-2031</x:v>
      </x:c>
      <x:c r="E12" s="143" t="str">
        <x:v>https://tisegroup.com/market/securities/MARFIN1</x:v>
      </x:c>
      <x:c r="F12" s="102"/>
      <x:c r="G12" s="102"/>
      <x:c r="H12" s="102"/>
    </x:row>
    <x:row r="13" ht="32" customHeight="1">
      <x:c r="A13" s="102" t="n">
        <x:v>8</x:v>
      </x:c>
      <x:c r="B13" s="102" t="str">
        <x:v>TISE EUR 2031 security information</x:v>
      </x:c>
      <x:c r="C13" s="102" t="str">
        <x:v>23-Sep-2025</x:v>
      </x:c>
      <x:c r="D13" s="140" t="str">
        <x:v>€500m 6.75% secured notes; Information tab: 31-Jan-2031</x:v>
      </x:c>
      <x:c r="E13" s="143" t="str">
        <x:v>https://tisegroup.com/market/securities/MARFIN2</x:v>
      </x:c>
      <x:c r="F13" s="102"/>
      <x:c r="G13" s="102"/>
      <x:c r="H13" s="102"/>
    </x:row>
    <x:row r="14" ht="32" customHeight="1">
      <x:c r="A14" s="102" t="n">
        <x:v>9</x:v>
      </x:c>
      <x:c r="B14" s="102" t="str">
        <x:v>TISE 2028 notes partial delisting</x:v>
      </x:c>
      <x:c r="C14" s="102" t="str">
        <x:v>01-Aug-2025</x:v>
      </x:c>
      <x:c r="D14" s="140" t="str">
        <x:v>Assumptions E10: £750m 6.75% senior notes due 2028 remain listed</x:v>
      </x:c>
      <x:c r="E14" s="143" t="str">
        <x:v>https://tisegroup.com/market/news/350022</x:v>
      </x:c>
      <x:c r="F14" s="102"/>
      <x:c r="G14" s="102"/>
      <x:c r="H14" s="102"/>
    </x:row>
    <x:row r="15">
      <x:c r="A15" s="102"/>
      <x:c r="B15" s="102"/>
      <x:c r="C15" s="102"/>
      <x:c r="D15" s="102"/>
      <x:c r="E15" s="102"/>
      <x:c r="F15" s="102"/>
      <x:c r="G15" s="102"/>
      <x:c r="H15" s="102"/>
    </x:row>
    <x:row r="16">
      <x:c r="A16" s="114" t="str">
        <x:v>Methodology: FY23A–FY24A cash flow and debt data are taken from Market Bidco consolidated accounts. FY25A operating KPIs use Morrisons’ trading update because FY25 statutory accounts were not yet filed at the valuation date. The post-refinancing debt stack is reconstructed from public tender announcements and exchange listings. GBP equivalents, opening cash, margins, pricing and proposed covenant terms are explicit independent assumptions. No non-public information was used.</x:v>
      </x:c>
      <x:c r="B16" s="114" t="str">
        <x:v>Methodology: FY23A–FY24A cash flow and debt data are taken from Market Bidco consolidated accounts. FY25A operating KPIs use Morrisons’ trading update because FY25 statutory accounts were not yet filed at the valuation date. The post-refinancing debt stack is reconstructed from public tender announcements and exchange listings. GBP equivalents, opening cash, margins, pricing and proposed covenant terms are explicit independent assumptions. No non-public information was used.</x:v>
      </x:c>
      <x:c r="C16" s="114" t="str">
        <x:v>Methodology: FY23A–FY24A cash flow and debt data are taken from Market Bidco consolidated accounts. FY25A operating KPIs use Morrisons’ trading update because FY25 statutory accounts were not yet filed at the valuation date. The post-refinancing debt stack is reconstructed from public tender announcements and exchange listings. GBP equivalents, opening cash, margins, pricing and proposed covenant terms are explicit independent assumptions. No non-public information was used.</x:v>
      </x:c>
      <x:c r="D16" s="114" t="str">
        <x:v>Methodology: FY23A–FY24A cash flow and debt data are taken from Market Bidco consolidated accounts. FY25A operating KPIs use Morrisons’ trading update because FY25 statutory accounts were not yet filed at the valuation date. The post-refinancing debt stack is reconstructed from public tender announcements and exchange listings. GBP equivalents, opening cash, margins, pricing and proposed covenant terms are explicit independent assumptions. No non-public information was used.</x:v>
      </x:c>
      <x:c r="E16" s="114" t="str">
        <x:v>Methodology: FY23A–FY24A cash flow and debt data are taken from Market Bidco consolidated accounts. FY25A operating KPIs use Morrisons’ trading update because FY25 statutory accounts were not yet filed at the valuation date. The post-refinancing debt stack is reconstructed from public tender announcements and exchange listings. GBP equivalents, opening cash, margins, pricing and proposed covenant terms are explicit independent assumptions. No non-public information was used.</x:v>
      </x:c>
      <x:c r="F16" s="114" t="str">
        <x:v>Methodology: FY23A–FY24A cash flow and debt data are taken from Market Bidco consolidated accounts. FY25A operating KPIs use Morrisons’ trading update because FY25 statutory accounts were not yet filed at the valuation date. The post-refinancing debt stack is reconstructed from public tender announcements and exchange listings. GBP equivalents, opening cash, margins, pricing and proposed covenant terms are explicit independent assumptions. No non-public information was used.</x:v>
      </x:c>
      <x:c r="G16" s="114" t="str">
        <x:v>Methodology: FY23A–FY24A cash flow and debt data are taken from Market Bidco consolidated accounts. FY25A operating KPIs use Morrisons’ trading update because FY25 statutory accounts were not yet filed at the valuation date. The post-refinancing debt stack is reconstructed from public tender announcements and exchange listings. GBP equivalents, opening cash, margins, pricing and proposed covenant terms are explicit independent assumptions. No non-public information was used.</x:v>
      </x:c>
      <x:c r="H16" s="114" t="str">
        <x:v>Methodology: FY23A–FY24A cash flow and debt data are taken from Market Bidco consolidated accounts. FY25A operating KPIs use Morrisons’ trading update because FY25 statutory accounts were not yet filed at the valuation date. The post-refinancing debt stack is reconstructed from public tender announcements and exchange listings. GBP equivalents, opening cash, margins, pricing and proposed covenant terms are explicit independent assumptions. No non-public information was used.</x:v>
      </x:c>
    </x:row>
    <x:row r="17" ht="24" customHeight="1">
      <x:c r="A17"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c r="B17"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c r="C17"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c r="D17"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c r="E17"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c r="F17"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c r="G17"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c r="H17"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row>
    <x:row r="18" ht="24" customHeight="1">
      <x:c r="A18"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c r="B18"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c r="C18"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c r="D18"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c r="E18"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c r="F18"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c r="G18"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c r="H18"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row>
    <x:row r="19" ht="24" customHeight="1">
      <x:c r="A19"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c r="B19"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c r="C19"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c r="D19"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c r="E19"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c r="F19"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c r="G19"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c r="H19" s="114" t="str">
        <x:v>Methodology: Public operating data and debt terms come from the listed sources. GBP equivalents, opening cash, pricing and covenants are independent assumptions. FY30 liquidity assumes the £1.0bn RCF is extended or replaced before Aug-2030. Cash sweep is applied to the proposed term-out first. The Nov-2030 term loans and Jan-2031 notes require a separate refinancing plan.</x:v>
      </x:c>
    </x:row>
    <x:row r="20">
      <x:c r="A20" s="102"/>
      <x:c r="B20" s="102"/>
      <x:c r="C20" s="102"/>
      <x:c r="D20" s="102"/>
      <x:c r="E20" s="102"/>
      <x:c r="F20" s="102"/>
      <x:c r="G20" s="102"/>
      <x:c r="H20" s="102"/>
    </x:row>
    <x:row r="21">
      <x:c r="A21" s="102"/>
      <x:c r="B21" s="102"/>
      <x:c r="C21" s="102"/>
      <x:c r="D21" s="102"/>
      <x:c r="E21" s="102"/>
      <x:c r="F21" s="102"/>
      <x:c r="G21" s="102"/>
      <x:c r="H21" s="102"/>
    </x:row>
    <x:row r="22">
      <x:c r="A22" s="11" t="str">
        <x:v>Model Checks</x:v>
      </x:c>
      <x:c r="B22" s="11" t="str">
        <x:v>Model Checks</x:v>
      </x:c>
      <x:c r="C22" s="11" t="str">
        <x:v>Model Checks</x:v>
      </x:c>
      <x:c r="D22" s="11" t="str">
        <x:v>Model Checks</x:v>
      </x:c>
      <x:c r="E22" s="11" t="str">
        <x:v>Model Checks</x:v>
      </x:c>
      <x:c r="F22" s="11" t="str">
        <x:v>Model Checks</x:v>
      </x:c>
      <x:c r="G22" s="11" t="str">
        <x:v>Model Checks</x:v>
      </x:c>
      <x:c r="H22" s="11" t="str">
        <x:v>Model Checks</x:v>
      </x:c>
    </x:row>
    <x:row r="23">
      <x:c r="A23" s="108" t="str">
        <x:v>Check</x:v>
      </x:c>
      <x:c r="B23" s="108" t="str">
        <x:v>Formula / test</x:v>
      </x:c>
      <x:c r="C23" s="108" t="str">
        <x:v>Result</x:v>
      </x:c>
      <x:c r="D23" s="108" t="str">
        <x:v>Status</x:v>
      </x:c>
      <x:c r="E23" s="102"/>
      <x:c r="F23" s="102"/>
      <x:c r="G23" s="102"/>
      <x:c r="H23" s="102"/>
    </x:row>
    <x:row r="24" ht="30" customHeight="1">
      <x:c r="A24" s="140" t="str">
        <x:v>Sources populated</x:v>
      </x:c>
      <x:c r="B24" s="140" t="str">
        <x:v>Count listed source URLs; presence only</x:v>
      </x:c>
      <x:c r="C24" s="124" t="n">
        <x:f>COUNTA(E6:E14)</x:f>
        <x:v>9</x:v>
      </x:c>
      <x:c r="D24" s="124" t="str">
        <x:f>IF(C24=9,"OK","FAIL")</x:f>
        <x:v>OK</x:v>
      </x:c>
      <x:c r="E24" s="102"/>
      <x:c r="F24" s="102"/>
      <x:c r="G24" s="102"/>
      <x:c r="H24" s="102"/>
    </x:row>
    <x:row r="25" ht="30" customHeight="1">
      <x:c r="A25" s="140" t="str">
        <x:v>Opening stack matches both schedules</x:v>
      </x:c>
      <x:c r="B25" s="140" t="str">
        <x:v>Maximum absolute tranche difference</x:v>
      </x:c>
      <x:c r="C25" s="283" t="n">
        <x:f>MAX(ABS('Debt Capacity'!B6-'Base Case'!C30),ABS('Debt Capacity'!B7-'Base Case'!C21),ABS('Debt Capacity'!B8-'Base Case'!C24),ABS('Debt Capacity'!B9-'Base Case'!C27),ABS('Debt Capacity'!B6-'Downside'!C30),ABS('Debt Capacity'!B7-'Downside'!C21),ABS('Debt Capacity'!B8-'Downside'!C24),ABS('Debt Capacity'!B9-'Downside'!C27))</x:f>
        <x:v>0</x:v>
      </x:c>
      <x:c r="D25" s="124" t="str">
        <x:f>IF(C25&lt;0.01,"OK","FAIL")</x:f>
        <x:v>OK</x:v>
      </x:c>
      <x:c r="E25" s="102"/>
      <x:c r="F25" s="102"/>
      <x:c r="G25" s="102"/>
      <x:c r="H25" s="102"/>
    </x:row>
    <x:row r="26" ht="30" customHeight="1">
      <x:c r="A26" s="140" t="str">
        <x:v>Base cash never below minimum</x:v>
      </x:c>
      <x:c r="B26" s="140" t="str">
        <x:v>MIN closing cash &gt;= assumed minimum</x:v>
      </x:c>
      <x:c r="C26" s="283" t="n">
        <x:f>MIN('Base Case'!C35:G35)</x:f>
        <x:v>315.5</x:v>
      </x:c>
      <x:c r="D26" s="124" t="str">
        <x:f>IF(C26&gt;=Assumptions!$B$9-0.1,"OK","FAIL")</x:f>
        <x:v>OK</x:v>
      </x:c>
      <x:c r="E26" s="102"/>
      <x:c r="F26" s="102"/>
      <x:c r="G26" s="102"/>
      <x:c r="H26" s="102"/>
    </x:row>
    <x:row r="27" ht="30" customHeight="1">
      <x:c r="A27" s="140" t="str">
        <x:v>Downside cash never below minimum</x:v>
      </x:c>
      <x:c r="B27" s="140" t="str">
        <x:v>MIN closing cash &gt;= assumed minimum</x:v>
      </x:c>
      <x:c r="C27" s="283" t="n">
        <x:f>MIN('Downside'!C35:G35)</x:f>
        <x:v>300</x:v>
      </x:c>
      <x:c r="D27" s="124" t="str">
        <x:f>IF(C27&gt;=Assumptions!$B$9-0.1,"OK","FAIL")</x:f>
        <x:v>OK</x:v>
      </x:c>
      <x:c r="E27" s="102"/>
      <x:c r="F27" s="102"/>
      <x:c r="G27" s="102"/>
      <x:c r="H27" s="102"/>
    </x:row>
    <x:row r="28" ht="30" customHeight="1">
      <x:c r="A28" s="140" t="str">
        <x:v>Base debt remains non-negative</x:v>
      </x:c>
      <x:c r="B28" s="140" t="str">
        <x:v>MIN debt tranches &gt;= 0</x:v>
      </x:c>
      <x:c r="C28" s="283" t="n">
        <x:f>MIN('Base Case'!C23:G23,'Base Case'!C26:G26,'Base Case'!C29:G29,'Base Case'!C33:G33)</x:f>
        <x:v>0</x:v>
      </x:c>
      <x:c r="D28" s="124" t="str">
        <x:f>IF(C28&gt;=0,"OK","FAIL")</x:f>
        <x:v>OK</x:v>
      </x:c>
      <x:c r="E28" s="102"/>
      <x:c r="F28" s="102"/>
      <x:c r="G28" s="102"/>
      <x:c r="H28" s="102"/>
    </x:row>
    <x:row r="29" ht="30" customHeight="1">
      <x:c r="A29" s="140" t="str">
        <x:v>Downside debt remains non-negative</x:v>
      </x:c>
      <x:c r="B29" s="140" t="str">
        <x:v>MIN debt tranches &gt;= 0</x:v>
      </x:c>
      <x:c r="C29" s="283" t="n">
        <x:f>MIN('Downside'!C23:G23,'Downside'!C26:G26,'Downside'!C29:G29,'Downside'!C33:G33)</x:f>
        <x:v>10.3</x:v>
      </x:c>
      <x:c r="D29" s="124" t="str">
        <x:f>IF(C29&gt;=0,"OK","FAIL")</x:f>
        <x:v>OK</x:v>
      </x:c>
      <x:c r="E29" s="102"/>
      <x:c r="F29" s="102"/>
      <x:c r="G29" s="102"/>
      <x:c r="H29" s="102"/>
    </x:row>
    <x:row r="30" ht="30" customHeight="1">
      <x:c r="A30" s="140" t="str">
        <x:v>Base EBITDA denominator positive</x:v>
      </x:c>
      <x:c r="B30" s="140" t="str">
        <x:v>MIN EBITDA &gt; 0</x:v>
      </x:c>
      <x:c r="C30" s="283" t="n">
        <x:f>MIN('Base Case'!C9:G9)</x:f>
        <x:v>868</x:v>
      </x:c>
      <x:c r="D30" s="124" t="str">
        <x:f>IF(C30&gt;0,"OK","FAIL")</x:f>
        <x:v>OK</x:v>
      </x:c>
      <x:c r="E30" s="102"/>
      <x:c r="F30" s="102"/>
      <x:c r="G30" s="102"/>
      <x:c r="H30" s="102"/>
    </x:row>
    <x:row r="31" ht="30" customHeight="1">
      <x:c r="A31" s="140" t="str">
        <x:v>Downside EBITDA denominator positive</x:v>
      </x:c>
      <x:c r="B31" s="140" t="str">
        <x:v>MIN EBITDA &gt; 0</x:v>
      </x:c>
      <x:c r="C31" s="283" t="n">
        <x:f>MIN('Downside'!C9:G9)</x:f>
        <x:v>727</x:v>
      </x:c>
      <x:c r="D31" s="124" t="str">
        <x:f>IF(C31&gt;0,"OK","FAIL")</x:f>
        <x:v>OK</x:v>
      </x:c>
      <x:c r="E31" s="102"/>
      <x:c r="F31" s="102"/>
      <x:c r="G31" s="102"/>
      <x:c r="H31" s="102"/>
    </x:row>
    <x:row r="32" ht="28" customHeight="1">
      <x:c r="A32" s="257" t="str">
        <x:v>Downside FY30 RCF replacement to retain minimum cash</x:v>
      </x:c>
      <x:c r="B32" s="257" t="str">
        <x:v>Annual estimate; before future refinancing</x:v>
      </x:c>
      <x:c r="C32" s="284" t="n">
        <x:f>'Downside'!G42</x:f>
        <x:v>461.3</x:v>
      </x:c>
      <x:c r="D32" s="285" t="str">
        <x:f>IF(C32&gt;0,"REFINANCING REQUIRED","OK")</x:f>
        <x:v>REFINANCING REQUIRED</x:v>
      </x:c>
      <x:c r="E32" s="102"/>
      <x:c r="F32" s="102"/>
      <x:c r="G32" s="102"/>
      <x:c r="H32" s="102"/>
    </x:row>
    <x:row r="33" ht="28" customHeight="1">
      <x:c r="A33" s="257" t="str">
        <x:v>Base Nov-2030 / Jan-2031 refinancing amount</x:v>
      </x:c>
      <x:c r="B33" s="257" t="str">
        <x:v>Term loans + secured notes</x:v>
      </x:c>
      <x:c r="C33" s="284" t="n">
        <x:f>'Base Case'!G41</x:f>
        <x:v>2497.5</x:v>
      </x:c>
      <x:c r="D33" s="259" t="str">
        <x:v>PLAN REQUIRED</x:v>
      </x:c>
      <x:c r="E33" s="102"/>
      <x:c r="F33" s="102"/>
      <x:c r="G33" s="102"/>
      <x:c r="H33" s="102"/>
    </x:row>
    <x:row r="34">
      <x:c r="A34" s="11" t="str">
        <x:v>Chart Data</x:v>
      </x:c>
      <x:c r="B34" s="11" t="str">
        <x:v>Chart Data</x:v>
      </x:c>
      <x:c r="C34" s="11" t="str">
        <x:v>Chart Data</x:v>
      </x:c>
      <x:c r="D34" s="11" t="str">
        <x:v>Chart Data</x:v>
      </x:c>
      <x:c r="E34" s="11" t="str">
        <x:v>Chart Data</x:v>
      </x:c>
      <x:c r="F34" s="11" t="str">
        <x:v>Chart Data</x:v>
      </x:c>
      <x:c r="G34" s="11" t="str">
        <x:v>Chart Data</x:v>
      </x:c>
      <x:c r="H34" s="11" t="str">
        <x:v>Chart Data</x:v>
      </x:c>
    </x:row>
    <x:row r="35">
      <x:c r="A35" s="133" t="str">
        <x:v>Year</x:v>
      </x:c>
      <x:c r="B35" s="133" t="str">
        <x:v>Base net leverage</x:v>
      </x:c>
      <x:c r="C35" s="133" t="str">
        <x:v>Downside net leverage</x:v>
      </x:c>
      <x:c r="D35" s="133" t="str">
        <x:v>Base interest cover</x:v>
      </x:c>
      <x:c r="E35" s="133" t="str">
        <x:v>Downside interest cover</x:v>
      </x:c>
      <x:c r="F35" s="102"/>
      <x:c r="G35" s="102"/>
      <x:c r="H35" s="102"/>
    </x:row>
    <x:row r="36">
      <x:c r="A36" s="102" t="str">
        <x:v>2026E</x:v>
      </x:c>
      <x:c r="B36" s="282" t="n">
        <x:f>'Base Case'!C38</x:f>
        <x:v>3.5781105990783413</x:v>
      </x:c>
      <x:c r="C36" s="282" t="n">
        <x:f>'Downside'!C38</x:f>
        <x:v>4.214114513981358</x:v>
      </x:c>
      <x:c r="D36" s="282" t="n">
        <x:f>'Base Case'!C39</x:f>
        <x:v>2.3085106382978724</x:v>
      </x:c>
      <x:c r="E36" s="282" t="n">
        <x:f>'Downside'!C39</x:f>
        <x:v>1.997340425531915</x:v>
      </x:c>
      <x:c r="F36" s="102"/>
      <x:c r="G36" s="102"/>
      <x:c r="H36" s="102"/>
    </x:row>
    <x:row r="37">
      <x:c r="A37" s="102" t="str">
        <x:v>2027E</x:v>
      </x:c>
      <x:c r="B37" s="282" t="n">
        <x:f>'Base Case'!D38</x:f>
        <x:v>3.3927152317880798</x:v>
      </x:c>
      <x:c r="C37" s="282" t="n">
        <x:f>'Downside'!D38</x:f>
        <x:v>4.4495185694635495</x:v>
      </x:c>
      <x:c r="D37" s="282" t="n">
        <x:f>'Base Case'!D39</x:f>
        <x:v>2.4224598930481283</x:v>
      </x:c>
      <x:c r="E37" s="282" t="n">
        <x:f>'Downside'!D39</x:f>
        <x:v>1.9283819628647214</x:v>
      </x:c>
      <x:c r="F37" s="102"/>
      <x:c r="G37" s="102"/>
      <x:c r="H37" s="102"/>
    </x:row>
    <x:row r="38">
      <x:c r="A38" s="102" t="str">
        <x:v>2028E</x:v>
      </x:c>
      <x:c r="B38" s="282" t="n">
        <x:f>'Base Case'!E38</x:f>
        <x:v>3.213771186440678</x:v>
      </x:c>
      <x:c r="C38" s="282" t="n">
        <x:f>'Downside'!E38</x:f>
        <x:v>4.488290713324361</x:v>
      </x:c>
      <x:c r="D38" s="282" t="n">
        <x:f>'Base Case'!E39</x:f>
        <x:v>2.5376344086021505</x:v>
      </x:c>
      <x:c r="E38" s="282" t="n">
        <x:f>'Downside'!E39</x:f>
        <x:v>1.9348958333333333</x:v>
      </x:c>
      <x:c r="F38" s="102"/>
      <x:c r="G38" s="102"/>
      <x:c r="H38" s="102"/>
    </x:row>
    <x:row r="39">
      <x:c r="A39" s="102" t="str">
        <x:v>2029E</x:v>
      </x:c>
      <x:c r="B39" s="282" t="n">
        <x:f>'Base Case'!F38</x:f>
        <x:v>3.083127572016461</x:v>
      </x:c>
      <x:c r="C39" s="282" t="n">
        <x:f>'Downside'!F38</x:f>
        <x:v>4.4222222222222225</x:v>
      </x:c>
      <x:c r="D39" s="282" t="n">
        <x:f>'Base Case'!F39</x:f>
        <x:v>2.6129032258064515</x:v>
      </x:c>
      <x:c r="E39" s="282" t="n">
        <x:f>'Downside'!F39</x:f>
        <x:v>1.9694656488549618</x:v>
      </x:c>
      <x:c r="F39" s="102"/>
      <x:c r="G39" s="102"/>
      <x:c r="H39" s="102"/>
    </x:row>
    <x:row r="40">
      <x:c r="A40" s="102" t="str">
        <x:v>2030E</x:v>
      </x:c>
      <x:c r="B40" s="282" t="n">
        <x:f>'Base Case'!G38</x:f>
        <x:v>2.9538</x:v>
      </x:c>
      <x:c r="C40" s="282" t="n">
        <x:f>'Downside'!G38</x:f>
        <x:v>4.381296758104738</x:v>
      </x:c>
      <x:c r="D40" s="282" t="n">
        <x:f>'Base Case'!G39</x:f>
        <x:v>2.6954177897574123</x:v>
      </x:c>
      <x:c r="E40" s="282" t="n">
        <x:f>'Downside'!G39</x:f>
        <x:v>1.9950248756218905</x:v>
      </x:c>
      <x:c r="F40" s="102"/>
      <x:c r="G40" s="102"/>
      <x:c r="H40" s="102"/>
    </x:row>
    <x:row r="41">
      <x:c r="A41" s="102"/>
      <x:c r="B41" s="102"/>
      <x:c r="C41" s="102"/>
      <x:c r="D41" s="102"/>
      <x:c r="E41" s="102"/>
      <x:c r="F41" s="102"/>
      <x:c r="G41" s="102"/>
      <x:c r="H41" s="102"/>
    </x:row>
    <x:row r="42">
      <x:c r="A42" s="102"/>
      <x:c r="B42" s="102"/>
      <x:c r="C42" s="102"/>
      <x:c r="D42" s="102"/>
      <x:c r="E42" s="102"/>
      <x:c r="F42" s="102"/>
      <x:c r="G42" s="102"/>
      <x:c r="H42" s="102"/>
    </x:row>
    <x:row r="43">
      <x:c r="A43" s="261" t="str">
        <x:v>FY30 ending balances by legal maturity</x:v>
      </x:c>
      <x:c r="B43" s="261" t="str">
        <x:v>Principal</x:v>
      </x:c>
      <x:c r="C43" s="102"/>
      <x:c r="D43" s="102"/>
      <x:c r="E43" s="102"/>
      <x:c r="F43" s="102"/>
      <x:c r="G43" s="102"/>
      <x:c r="H43" s="102"/>
    </x:row>
    <x:row r="44">
      <x:c r="A44" s="212" t="str">
        <x:v>RCF Aug-2030 (downside)</x:v>
      </x:c>
      <x:c r="B44" s="264" t="n">
        <x:f>'Downside'!G33</x:f>
        <x:v>461.3</x:v>
      </x:c>
      <x:c r="C44" s="102"/>
      <x:c r="D44" s="102"/>
      <x:c r="E44" s="102"/>
      <x:c r="F44" s="102"/>
      <x:c r="G44" s="102"/>
      <x:c r="H44" s="102"/>
    </x:row>
    <x:row r="45">
      <x:c r="A45" s="212" t="str">
        <x:v>Term loans Nov-2030 (base)</x:v>
      </x:c>
      <x:c r="B45" s="264" t="n">
        <x:f>'Base Case'!G23</x:f>
        <x:v>1567.5</x:v>
      </x:c>
      <x:c r="C45" s="102"/>
      <x:c r="D45" s="102"/>
      <x:c r="E45" s="102"/>
      <x:c r="F45" s="102"/>
      <x:c r="G45" s="102"/>
      <x:c r="H45" s="102"/>
    </x:row>
    <x:row r="46">
      <x:c r="A46" s="212" t="str">
        <x:v>Secured notes Jan-2031</x:v>
      </x:c>
      <x:c r="B46" s="264" t="n">
        <x:f>'Base Case'!G26</x:f>
        <x:v>930</x:v>
      </x:c>
      <x:c r="C46" s="102"/>
      <x:c r="D46" s="102"/>
      <x:c r="E46" s="102"/>
      <x:c r="F46" s="102"/>
      <x:c r="G46" s="102"/>
      <x:c r="H46" s="102"/>
    </x:row>
    <x:row r="47">
      <x:c r="A47" s="212" t="str">
        <x:v>Proposed facility Aug-2032 (base)</x:v>
      </x:c>
      <x:c r="B47" s="264" t="n">
        <x:f>'Base Case'!G29</x:f>
        <x:v>788.5</x:v>
      </x:c>
      <x:c r="C47" s="102"/>
      <x:c r="D47" s="102"/>
      <x:c r="E47" s="102"/>
      <x:c r="F47" s="102"/>
      <x:c r="G47" s="102"/>
      <x:c r="H47" s="102"/>
    </x:row>
    <x:row r="48">
      <x:c r="A48" s="265" t="str">
        <x:v>Base Nov-2030 / Jan-2031 total</x:v>
      </x:c>
      <x:c r="B48" s="266" t="n">
        <x:f>'Base Case'!G41</x:f>
        <x:v>2497.5</x:v>
      </x:c>
    </x:row>
    <x:row r="49">
      <x:c r="A49" s="265" t="str">
        <x:v>Downside Aug-2030 / Jan-2031 total</x:v>
      </x:c>
      <x:c r="B49" s="266" t="n">
        <x:f>'Downside'!G43</x:f>
        <x:v>2958.8</x:v>
      </x:c>
    </x:row>
    <x:row r="51">
      <x:c r="A51" t="str">
        <x:v>Additional capacity checks</x:v>
      </x:c>
      <x:c r="B51" t="str">
        <x:v>Test</x:v>
      </x:c>
      <x:c r="C51" t="str">
        <x:v>Result</x:v>
      </x:c>
      <x:c r="D51" t="str">
        <x:v>Status</x:v>
      </x:c>
    </x:row>
    <x:row r="52" ht="34" customHeight="1">
      <x:c r="A52" s="73" t="str">
        <x:v>Base RCF within commitment</x:v>
      </x:c>
      <x:c r="B52" s="73" t="str">
        <x:v>MAX drawn &lt;= assumed commitment</x:v>
      </x:c>
      <x:c r="C52" s="39" t="n">
        <x:f>MAX('Base Case'!C33:G33)</x:f>
        <x:v>0</x:v>
      </x:c>
      <x:c r="D52" s="39" t="str">
        <x:f>IF(C52&lt;='Assumptions'!$B$10+0.01,"OK","FAIL")</x:f>
        <x:v>OK</x:v>
      </x:c>
    </x:row>
    <x:row r="53" ht="34" customHeight="1">
      <x:c r="A53" s="73" t="str">
        <x:v>Downside RCF within commitment</x:v>
      </x:c>
      <x:c r="B53" s="73" t="str">
        <x:v>MAX drawn &lt;= assumed commitment</x:v>
      </x:c>
      <x:c r="C53" s="39" t="n">
        <x:f>MAX('Downside'!C33:G33)</x:f>
        <x:v>461.3</x:v>
      </x:c>
      <x:c r="D53" s="39" t="str">
        <x:f>IF(C53&lt;='Assumptions'!$B$10+0.01,"OK","FAIL")</x:f>
        <x:v>OK</x:v>
      </x:c>
    </x:row>
    <x:row r="54" ht="34" customHeight="1">
      <x:c r="A54" s="73" t="str">
        <x:v>Base unfunded need</x:v>
      </x:c>
      <x:c r="B54" s="73" t="str">
        <x:v>MAX gap to minimum cash</x:v>
      </x:c>
      <x:c r="C54" s="39" t="n">
        <x:f>MAX('Base Case'!C44:G44)</x:f>
        <x:v>0</x:v>
      </x:c>
      <x:c r="D54" s="39" t="str">
        <x:f>IF(C54&lt;=0.01,"OK","FUNDING REQUIRED")</x:f>
        <x:v>OK</x:v>
      </x:c>
    </x:row>
    <x:row r="55" ht="34" customHeight="1">
      <x:c r="A55" s="73" t="str">
        <x:v>Downside unfunded need</x:v>
      </x:c>
      <x:c r="B55" s="73" t="str">
        <x:v>MAX gap to minimum cash</x:v>
      </x:c>
      <x:c r="C55" s="39" t="n">
        <x:f>MAX('Downside'!C44:G44)</x:f>
        <x:v>0</x:v>
      </x:c>
      <x:c r="D55" s="39" t="str">
        <x:f>IF(C55&lt;=0.01,"OK","FUNDING REQUIRED")</x:f>
        <x:v>OK</x:v>
      </x:c>
    </x:row>
    <x:row r="56" ht="34" customHeight="1">
      <x:c r="A56" s="73" t="str">
        <x:v>Closing sources and uses reconcile</x:v>
      </x:c>
      <x:c r="B56" s="73" t="str">
        <x:v>Pre-cash + proceeds - takeout - fees - post-cash</x:v>
      </x:c>
      <x:c r="C56" s="39" t="n">
        <x:f>ROUND(Assumptions!B8+Assumptions!G7-Assumptions!G6-Assumptions!G10-Assumptions!E11,1)</x:f>
        <x:v>0</x:v>
      </x:c>
      <x:c r="D56" s="39" t="str">
        <x:f>IF(ABS(C56)&lt;0.01,"OK","FAIL")</x:f>
        <x:v>OK</x:v>
      </x:c>
    </x:row>
  </x:sheetData>
  <x:mergeCells>
    <x:mergeCell ref="A2:H2"/>
    <x:mergeCell ref="A4:H4"/>
    <x:mergeCell ref="A16:H19"/>
    <x:mergeCell ref="A22:H22"/>
    <x:mergeCell ref="A34:H34"/>
  </x:mergeCells>
  <x:conditionalFormatting sqref="D24:D31">
    <x:cfRule type="cellIs" dxfId="5" priority="1" operator="equal">
      <x:formula>"FAIL"</x:formula>
    </x:cfRule>
    <x:cfRule type="cellIs" dxfId="6" priority="2" operator="equal">
      <x:formula>"OK"</x:formula>
    </x:cfRule>
  </x:conditionalFormatting>
  <x:pageMargins left="0.7" right="0.7" top="0.75" bottom="0.75" header="0.3" footer="0.3"/>
</x:worksheet>
</file>
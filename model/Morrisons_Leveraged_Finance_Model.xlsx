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73d567d0d8f4186" /></Relationships>
</file>

<file path=xl/workbook.xml><?xml version="1.0" encoding="utf-8"?>
<x:workbook xmlns:x="http://schemas.openxmlformats.org/spreadsheetml/2006/main">
  <x:sheets>
    <x:sheet xmlns:r="http://schemas.openxmlformats.org/officeDocument/2006/relationships" name="Executive Summary" sheetId="1" r:id="R8420525d6ce1416c"/>
    <x:sheet xmlns:r="http://schemas.openxmlformats.org/officeDocument/2006/relationships" name="Assumptions" sheetId="2" r:id="Re4b15c24bcb94eb9"/>
    <x:sheet xmlns:r="http://schemas.openxmlformats.org/officeDocument/2006/relationships" name="Historical" sheetId="3" r:id="Rabe0259617134544"/>
    <x:sheet xmlns:r="http://schemas.openxmlformats.org/officeDocument/2006/relationships" name="Base Case" sheetId="4" r:id="R0c231df322aa480a"/>
    <x:sheet xmlns:r="http://schemas.openxmlformats.org/officeDocument/2006/relationships" name="Downside" sheetId="5" r:id="R0a5e1bfc36a54de7"/>
    <x:sheet xmlns:r="http://schemas.openxmlformats.org/officeDocument/2006/relationships" name="Debt Capacity" sheetId="6" r:id="R051aa108f00e44b1"/>
    <x:sheet xmlns:r="http://schemas.openxmlformats.org/officeDocument/2006/relationships" name="Sources &amp; Checks" sheetId="7" r:id="Rf720f0760e78483f"/>
  </x:sheets>
</x:workbook>
</file>

<file path=xl/sharedStrings.xml><?xml version="1.0" encoding="utf-8"?>
<x:sst xmlns:x="http://schemas.openxmlformats.org/spreadsheetml/2006/main"/>
</file>

<file path=xl/styles.xml><?xml version="1.0" encoding="utf-8"?>
<x:styleSheet xmlns:x="http://schemas.openxmlformats.org/spreadsheetml/2006/main">
  <x:numFmts count="8">
    <x:numFmt numFmtId="200" formatCode="£#,##0"/>
    <x:numFmt numFmtId="201" formatCode="0.0%"/>
    <x:numFmt numFmtId="202" formatCode="£#,##0;[Red](£#,##0)"/>
    <x:numFmt numFmtId="203" formatCode="0.00x"/>
    <x:numFmt numFmtId="204" formatCode="0.00%"/>
    <x:numFmt numFmtId="205" formatCode="0%"/>
    <x:numFmt numFmtId="206" formatCode="£#,##0.0"/>
    <x:numFmt numFmtId="207" formatCode="£#,##0&quot;m&quot;"/>
  </x:numFmts>
  <x:fonts count="18">
    <x:font>
      <x:sz val="11"/>
      <x:name val="Carlito"/>
    </x:font>
    <x:font>
      <x:sz val="9"/>
      <x:color rgb="FF000000"/>
      <x:name val="Arial"/>
    </x:font>
    <x:font>
      <x:b/>
      <x:sz val="18"/>
      <x:color rgb="FFFFFFFF"/>
      <x:name val="Arial"/>
    </x:font>
    <x:font>
      <x:i/>
      <x:sz val="9"/>
      <x:color rgb="FF595959"/>
      <x:name val="Carlito"/>
    </x:font>
    <x:font>
      <x:b/>
      <x:sz val="10"/>
      <x:color rgb="FFFFFFFF"/>
      <x:name val="Carlito"/>
    </x:font>
    <x:font>
      <x:b/>
      <x:sz val="11"/>
      <x:name val="Carlito"/>
    </x:font>
    <x:font>
      <x:sz val="11"/>
      <x:color rgb="FF0000FF"/>
      <x:name val="Carlito"/>
    </x:font>
    <x:font>
      <x:i/>
      <x:sz val="8"/>
      <x:color rgb="FF595959"/>
      <x:name val="Carlito"/>
    </x:font>
    <x:font>
      <x:sz val="11"/>
      <x:color rgb="FF008000"/>
      <x:name val="Carlito"/>
    </x:font>
    <x:font>
      <x:sz val="11"/>
      <x:color rgb="FF000000"/>
      <x:name val="Carlito"/>
    </x:font>
    <x:font>
      <x:b/>
      <x:sz val="10"/>
      <x:color rgb="FF000000"/>
      <x:name val="Carlito"/>
    </x:font>
    <x:font>
      <x:b/>
      <x:sz val="11"/>
      <x:color rgb="FF000000"/>
      <x:name val="Carlito"/>
    </x:font>
    <x:font>
      <x:b/>
      <x:sz val="11"/>
      <x:color rgb="FF1E7145"/>
      <x:name val="Carlito"/>
    </x:font>
    <x:font>
      <x:sz val="11"/>
      <x:color rgb="FF0563C1"/>
      <x:name val="Carlito"/>
    </x:font>
    <x:font>
      <x:b/>
      <x:sz val="16"/>
      <x:color rgb="FF1E7145"/>
      <x:name val="Carlito"/>
    </x:font>
    <x:font>
      <x:b/>
      <x:sz val="8"/>
      <x:color rgb="FFFFFFFF"/>
      <x:name val="Carlito"/>
    </x:font>
    <x:font>
      <x:b/>
      <x:sz val="15"/>
      <x:name val="Carlito"/>
    </x:font>
    <x:font>
      <x:sz val="9"/>
      <x:name val="Carlito"/>
    </x:font>
  </x:fonts>
  <x:fills count="12">
    <x:fill>
      <x:patternFill patternType="none"/>
    </x:fill>
    <x:fill>
      <x:patternFill patternType="gray125"/>
    </x:fill>
    <x:fill>
      <x:patternFill patternType="solid">
        <x:fgColor rgb="FF17365D"/>
      </x:patternFill>
    </x:fill>
    <x:fill>
      <x:patternFill patternType="solid">
        <x:fgColor rgb="FFEAF2F8"/>
      </x:patternFill>
    </x:fill>
    <x:fill>
      <x:patternFill patternType="solid">
        <x:fgColor rgb="FF1F4E78"/>
      </x:patternFill>
    </x:fill>
    <x:fill>
      <x:patternFill patternType="solid">
        <x:fgColor rgb="FFFFF2CC"/>
      </x:patternFill>
    </x:fill>
    <x:fill>
      <x:patternFill patternType="solid">
        <x:fgColor rgb="FFE7E6E6"/>
      </x:patternFill>
    </x:fill>
    <x:fill>
      <x:patternFill patternType="solid">
        <x:fgColor rgb="FFF2F2F2"/>
      </x:patternFill>
    </x:fill>
    <x:fill>
      <x:patternFill patternType="solid">
        <x:fgColor rgb="FFD9EAF7"/>
      </x:patternFill>
    </x:fill>
    <x:fill>
      <x:patternFill patternType="solid">
        <x:fgColor rgb="FFE2F0D9"/>
      </x:patternFill>
    </x:fill>
    <x:fill>
      <x:patternFill patternType="solid">
        <x:fgColor rgb="FFFCE4D6"/>
      </x:patternFill>
    </x:fill>
    <x:fill>
      <x:patternFill patternType="solid">
        <x:fgColor rgb="FFF7F9FB"/>
      </x:patternFill>
    </x:fill>
  </x:fills>
  <x:borders count="42">
    <x:border/>
    <x:border>
      <x:left style="medium">
        <x:color rgb="FF1E7145"/>
      </x:left>
      <x:top style="medium">
        <x:color rgb="FF1E7145"/>
      </x:top>
    </x:border>
    <x:border>
      <x:top style="medium">
        <x:color rgb="FF1E7145"/>
      </x:top>
    </x:border>
    <x:border>
      <x:right style="medium">
        <x:color rgb="FF1E7145"/>
      </x:right>
      <x:top style="medium">
        <x:color rgb="FF1E7145"/>
      </x:top>
    </x:border>
    <x:border>
      <x:left style="medium">
        <x:color rgb="FF1E7145"/>
      </x:left>
    </x:border>
    <x:border>
      <x:right style="medium">
        <x:color rgb="FF1E7145"/>
      </x:right>
    </x:border>
    <x:border>
      <x:left style="medium">
        <x:color rgb="FF1E7145"/>
      </x:left>
      <x:bottom style="medium">
        <x:color rgb="FF1E7145"/>
      </x:bottom>
    </x:border>
    <x:border>
      <x:bottom style="medium">
        <x:color rgb="FF1E7145"/>
      </x:bottom>
    </x:border>
    <x:border>
      <x:right style="medium">
        <x:color rgb="FF1E7145"/>
      </x:right>
      <x:bottom style="medium">
        <x:color rgb="FF1E7145"/>
      </x:bottom>
    </x:border>
    <x:border>
      <x:left style="medium">
        <x:color rgb="FF1F4E78"/>
      </x:left>
      <x:top style="medium">
        <x:color rgb="FF1F4E78"/>
      </x:top>
    </x:border>
    <x:border>
      <x:top style="medium">
        <x:color rgb="FF1F4E78"/>
      </x:top>
    </x:border>
    <x:border>
      <x:right style="medium">
        <x:color rgb="FF1F4E78"/>
      </x:right>
      <x:top style="medium">
        <x:color rgb="FF1F4E78"/>
      </x:top>
    </x:border>
    <x:border>
      <x:left style="medium">
        <x:color rgb="FF1F4E78"/>
      </x:left>
    </x:border>
    <x:border>
      <x:right style="medium">
        <x:color rgb="FF1F4E78"/>
      </x:right>
    </x:border>
    <x:border>
      <x:left style="medium">
        <x:color rgb="FF1F4E78"/>
      </x:left>
      <x:bottom style="medium">
        <x:color rgb="FF1F4E78"/>
      </x:bottom>
    </x:border>
    <x:border>
      <x:bottom style="medium">
        <x:color rgb="FF1F4E78"/>
      </x:bottom>
    </x:border>
    <x:border>
      <x:right style="medium">
        <x:color rgb="FF1F4E78"/>
      </x:right>
      <x:bottom style="medium">
        <x:color rgb="FF1F4E78"/>
      </x:bottom>
    </x:border>
    <x:border>
      <x:left style="thin">
        <x:color rgb="FFB4C6E7"/>
      </x:left>
      <x:top style="thin">
        <x:color rgb="FFB4C6E7"/>
      </x:top>
    </x:border>
    <x:border>
      <x:top style="thin">
        <x:color rgb="FFB4C6E7"/>
      </x:top>
    </x:border>
    <x:border>
      <x:right style="thin">
        <x:color rgb="FFB4C6E7"/>
      </x:right>
      <x:top style="thin">
        <x:color rgb="FFB4C6E7"/>
      </x:top>
    </x:border>
    <x:border>
      <x:left style="thin">
        <x:color rgb="FFB4C6E7"/>
      </x:left>
      <x:bottom style="thin">
        <x:color rgb="FFB4C6E7"/>
      </x:bottom>
    </x:border>
    <x:border>
      <x:bottom style="thin">
        <x:color rgb="FFB4C6E7"/>
      </x:bottom>
    </x:border>
    <x:border>
      <x:right style="thin">
        <x:color rgb="FFB4C6E7"/>
      </x:right>
      <x:bottom style="thin">
        <x:color rgb="FFB4C6E7"/>
      </x:bottom>
    </x:border>
    <x:border>
      <x:left style="thin">
        <x:color rgb="FFB4C6E7"/>
      </x:left>
    </x:border>
    <x:border>
      <x:right style="thin">
        <x:color rgb="FFB4C6E7"/>
      </x:right>
    </x:border>
    <x:border>
      <x:left style="thin">
        <x:color rgb="FFD6B656"/>
      </x:left>
      <x:top style="thin">
        <x:color rgb="FFD6B656"/>
      </x:top>
    </x:border>
    <x:border>
      <x:top style="thin">
        <x:color rgb="FFD6B656"/>
      </x:top>
    </x:border>
    <x:border>
      <x:right style="thin">
        <x:color rgb="FFD6B656"/>
      </x:right>
      <x:top style="thin">
        <x:color rgb="FFD6B656"/>
      </x:top>
    </x:border>
    <x:border>
      <x:left style="thin">
        <x:color rgb="FFD6B656"/>
      </x:left>
    </x:border>
    <x:border>
      <x:right style="thin">
        <x:color rgb="FFD6B656"/>
      </x:right>
    </x:border>
    <x:border>
      <x:left style="thin">
        <x:color rgb="FFD6B656"/>
      </x:left>
      <x:bottom style="thin">
        <x:color rgb="FFD6B656"/>
      </x:bottom>
    </x:border>
    <x:border>
      <x:bottom style="thin">
        <x:color rgb="FFD6B656"/>
      </x:bottom>
    </x:border>
    <x:border>
      <x:right style="thin">
        <x:color rgb="FFD6B656"/>
      </x:right>
      <x:bottom style="thin">
        <x:color rgb="FFD6B656"/>
      </x:bottom>
    </x:border>
    <x:border>
      <x:right style="thin">
        <x:color rgb="FFE6E6E6"/>
      </x:right>
      <x:bottom style="thin">
        <x:color rgb="FFE6E6E6"/>
      </x:bottom>
    </x:border>
    <x:border>
      <x:left style="thin">
        <x:color rgb="FFE6E6E6"/>
      </x:left>
      <x:right style="thin">
        <x:color rgb="FFE6E6E6"/>
      </x:right>
      <x:bottom style="thin">
        <x:color rgb="FFE6E6E6"/>
      </x:bottom>
    </x:border>
    <x:border>
      <x:left style="thin">
        <x:color rgb="FFE6E6E6"/>
      </x:left>
      <x:bottom style="thin">
        <x:color rgb="FFE6E6E6"/>
      </x:bottom>
    </x:border>
    <x:border>
      <x:right style="thin">
        <x:color rgb="FFE6E6E6"/>
      </x:right>
      <x:top style="thin">
        <x:color rgb="FFE6E6E6"/>
      </x:top>
      <x:bottom style="thin">
        <x:color rgb="FFE6E6E6"/>
      </x:bottom>
    </x:border>
    <x:border>
      <x:left style="thin">
        <x:color rgb="FFE6E6E6"/>
      </x:left>
      <x:right style="thin">
        <x:color rgb="FFE6E6E6"/>
      </x:right>
      <x:top style="thin">
        <x:color rgb="FFE6E6E6"/>
      </x:top>
      <x:bottom style="thin">
        <x:color rgb="FFE6E6E6"/>
      </x:bottom>
    </x:border>
    <x:border>
      <x:left style="thin">
        <x:color rgb="FFE6E6E6"/>
      </x:left>
      <x:top style="thin">
        <x:color rgb="FFE6E6E6"/>
      </x:top>
      <x:bottom style="thin">
        <x:color rgb="FFE6E6E6"/>
      </x:bottom>
    </x:border>
    <x:border>
      <x:right style="thin">
        <x:color rgb="FFE6E6E6"/>
      </x:right>
      <x:top style="thin">
        <x:color rgb="FFE6E6E6"/>
      </x:top>
    </x:border>
    <x:border>
      <x:left style="thin">
        <x:color rgb="FFE6E6E6"/>
      </x:left>
      <x:right style="thin">
        <x:color rgb="FFE6E6E6"/>
      </x:right>
      <x:top style="thin">
        <x:color rgb="FFE6E6E6"/>
      </x:top>
    </x:border>
    <x:border>
      <x:left style="thin">
        <x:color rgb="FFE6E6E6"/>
      </x:left>
      <x:top style="thin">
        <x:color rgb="FFE6E6E6"/>
      </x:top>
    </x:border>
  </x:borders>
  <x:cellStyleXfs count="1">
    <x:xf numFmtId="0" fontId="0" fillId="0" borderId="0"/>
  </x:cellStyleXfs>
  <x:cellXfs count="333">
    <x:xf numFmtId="0" fontId="0" fillId="0" borderId="0" xfId="0"/>
    <x:xf numFmtId="0" fontId="1" fillId="0"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horizontal="left"/>
    </x:xf>
    <x:xf numFmtId="0" fontId="2" fillId="2" borderId="0" xfId="0" applyNumberFormat="1" applyFont="1" applyFill="1" applyBorder="1" applyAlignment="1">
      <x:alignment horizontal="left" vertical="center"/>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wrapText="1"/>
    </x:xf>
    <x:xf numFmtId="0" fontId="0" fillId="4" borderId="0" xfId="0" applyNumberFormat="1" applyFont="1" applyFill="1" applyBorder="1"/>
    <x:xf numFmtId="0" fontId="4" fillId="4" borderId="0" xfId="0" applyNumberFormat="1" applyFont="1" applyFill="1" applyBorder="1"/>
    <x:xf numFmtId="0" fontId="4" fillId="4" borderId="0" xfId="0" applyNumberFormat="1" applyFont="1" applyFill="1" applyBorder="1" applyAlignment="1">
      <x:alignment vertical="center"/>
    </x:xf>
    <x:xf numFmtId="0" fontId="5" fillId="0" borderId="0" xfId="0" applyNumberFormat="1" applyFont="1" applyFill="1" applyBorder="1"/>
    <x:xf numFmtId="0" fontId="6" fillId="0" borderId="0" xfId="0" applyNumberFormat="1" applyFont="1" applyFill="1" applyBorder="1"/>
    <x:xf numFmtId="0" fontId="6" fillId="5" borderId="0" xfId="0" applyNumberFormat="1" applyFont="1" applyFill="1" applyBorder="1"/>
    <x:xf numFmtId="200" fontId="6" fillId="5" borderId="0" xfId="0" applyNumberFormat="1" applyFont="1" applyFill="1" applyBorder="1"/>
    <x:xf numFmtId="201" fontId="6" fillId="5" borderId="0"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5" fillId="6" borderId="0" xfId="0" applyNumberFormat="1" applyFont="1" applyFill="1" applyBorder="1" applyAlignment="1">
      <x:alignment horizontal="center"/>
    </x:xf>
    <x:xf numFmtId="0" fontId="0" fillId="7" borderId="0" xfId="0" applyNumberFormat="1" applyFont="1" applyFill="1" applyBorder="1"/>
    <x:xf numFmtId="0" fontId="7" fillId="7" borderId="0" xfId="0" applyNumberFormat="1" applyFont="1" applyFill="1" applyBorder="1"/>
    <x:xf numFmtId="0" fontId="7" fillId="7" borderId="0" xfId="0" applyNumberFormat="1" applyFont="1" applyFill="1" applyBorder="1" applyAlignment="1">
      <x:alignment wrapText="1"/>
    </x:xf>
    <x:xf numFmtId="0" fontId="7" fillId="7" borderId="0" xfId="0" applyNumberFormat="1" applyFont="1" applyFill="1" applyBorder="1" applyAlignment="1">
      <x:alignment vertical="top" wrapText="1"/>
    </x:xf>
    <x:xf numFmtId="200" fontId="0" fillId="0" borderId="0" xfId="0" applyNumberFormat="1" applyFont="1" applyFill="1" applyBorder="1"/>
    <x:xf numFmtId="201" fontId="0" fillId="0" borderId="0" xfId="0" applyNumberFormat="1" applyFont="1" applyFill="1" applyBorder="1"/>
    <x:xf numFmtId="202" fontId="0" fillId="0" borderId="0" xfId="0" applyNumberFormat="1" applyFont="1" applyFill="1" applyBorder="1"/>
    <x:xf numFmtId="203" fontId="0" fillId="0" borderId="0" xfId="0" applyNumberFormat="1" applyFont="1" applyFill="1" applyBorder="1"/>
    <x:xf numFmtId="200" fontId="8" fillId="0" borderId="0" xfId="0" applyNumberFormat="1" applyFont="1" applyFill="1" applyBorder="1"/>
    <x:xf numFmtId="201" fontId="8" fillId="0" borderId="0" xfId="0" applyNumberFormat="1" applyFont="1" applyFill="1" applyBorder="1"/>
    <x:xf numFmtId="202" fontId="8" fillId="0" borderId="0" xfId="0" applyNumberFormat="1" applyFont="1" applyFill="1" applyBorder="1"/>
    <x:xf numFmtId="203" fontId="8" fillId="0" borderId="0" xfId="0" applyNumberFormat="1" applyFont="1" applyFill="1" applyBorder="1"/>
    <x:xf numFmtId="0" fontId="0" fillId="8" borderId="0" xfId="0" applyNumberFormat="1" applyFont="1" applyFill="1" applyBorder="1"/>
    <x:xf numFmtId="0" fontId="0" fillId="8" borderId="0" xfId="0" applyNumberFormat="1" applyFont="1" applyFill="1" applyBorder="1" applyAlignment="1">
      <x:alignment wrapText="1"/>
    </x:xf>
    <x:xf numFmtId="0" fontId="0" fillId="8" borderId="0" xfId="0" applyNumberFormat="1" applyFont="1" applyFill="1" applyBorder="1" applyAlignment="1">
      <x:alignment vertical="top" wrapText="1"/>
    </x:xf>
    <x:xf numFmtId="200" fontId="9" fillId="0" borderId="0" xfId="0" applyNumberFormat="1" applyFont="1" applyFill="1" applyBorder="1"/>
    <x:xf numFmtId="201" fontId="9" fillId="0" borderId="0" xfId="0" applyNumberFormat="1" applyFont="1" applyFill="1" applyBorder="1"/>
    <x:xf numFmtId="202" fontId="9" fillId="0" borderId="0" xfId="0" applyNumberFormat="1" applyFont="1" applyFill="1" applyBorder="1"/>
    <x:xf numFmtId="0" fontId="9" fillId="0" borderId="0" xfId="0" applyNumberFormat="1" applyFont="1" applyFill="1" applyBorder="1"/>
    <x:xf numFmtId="0" fontId="10" fillId="4" borderId="0" xfId="0" applyNumberFormat="1" applyFont="1" applyFill="1" applyBorder="1" applyAlignment="1">
      <x:alignment vertical="center"/>
    </x:xf>
    <x:xf numFmtId="203" fontId="9" fillId="0" borderId="0" xfId="0" applyNumberFormat="1" applyFont="1" applyFill="1" applyBorder="1"/>
    <x:xf numFmtId="0" fontId="5" fillId="8" borderId="0" xfId="0" applyNumberFormat="1" applyFont="1" applyFill="1" applyBorder="1"/>
    <x:xf numFmtId="202" fontId="0" fillId="8" borderId="0" xfId="0" applyNumberFormat="1" applyFont="1" applyFill="1" applyBorder="1"/>
    <x:xf numFmtId="202" fontId="9" fillId="8" borderId="0" xfId="0" applyNumberFormat="1" applyFont="1" applyFill="1" applyBorder="1"/>
    <x:xf numFmtId="201" fontId="0" fillId="8" borderId="0" xfId="0" applyNumberFormat="1" applyFont="1" applyFill="1" applyBorder="1"/>
    <x:xf numFmtId="201" fontId="9" fillId="8" borderId="0" xfId="0" applyNumberFormat="1" applyFont="1" applyFill="1" applyBorder="1"/>
    <x:xf numFmtId="202" fontId="5" fillId="8" borderId="0" xfId="0" applyNumberFormat="1" applyFont="1" applyFill="1" applyBorder="1"/>
    <x:xf numFmtId="202" fontId="11" fillId="8" borderId="0" xfId="0" applyNumberFormat="1" applyFont="1" applyFill="1" applyBorder="1"/>
    <x:xf numFmtId="201" fontId="5" fillId="8" borderId="0" xfId="0" applyNumberFormat="1" applyFont="1" applyFill="1" applyBorder="1"/>
    <x:xf numFmtId="201" fontId="11" fillId="8" borderId="0" xfId="0" applyNumberFormat="1" applyFont="1" applyFill="1" applyBorder="1"/>
    <x:xf numFmtId="0" fontId="5" fillId="9" borderId="0" xfId="0" applyNumberFormat="1" applyFont="1" applyFill="1" applyBorder="1"/>
    <x:xf numFmtId="0" fontId="0" fillId="9" borderId="0" xfId="0" applyNumberFormat="1" applyFont="1" applyFill="1" applyBorder="1"/>
    <x:xf numFmtId="202" fontId="9" fillId="9" borderId="0" xfId="0" applyNumberFormat="1" applyFont="1" applyFill="1" applyBorder="1"/>
    <x:xf numFmtId="203" fontId="9" fillId="9" borderId="0" xfId="0" applyNumberFormat="1" applyFont="1" applyFill="1" applyBorder="1"/>
    <x:xf numFmtId="200" fontId="9" fillId="9" borderId="0" xfId="0" applyNumberFormat="1" applyFont="1" applyFill="1" applyBorder="1"/>
    <x:xf numFmtId="202" fontId="11" fillId="9" borderId="0" xfId="0" applyNumberFormat="1" applyFont="1" applyFill="1" applyBorder="1"/>
    <x:xf numFmtId="203" fontId="11" fillId="9" borderId="0" xfId="0" applyNumberFormat="1" applyFont="1" applyFill="1" applyBorder="1"/>
    <x:xf numFmtId="200" fontId="11" fillId="9" borderId="0" xfId="0" applyNumberFormat="1" applyFont="1" applyFill="1" applyBorder="1"/>
    <x:xf numFmtId="0" fontId="5" fillId="10" borderId="0" xfId="0" applyNumberFormat="1" applyFont="1" applyFill="1" applyBorder="1"/>
    <x:xf numFmtId="0" fontId="0" fillId="10" borderId="0" xfId="0" applyNumberFormat="1" applyFont="1" applyFill="1" applyBorder="1"/>
    <x:xf numFmtId="202" fontId="9" fillId="10" borderId="0" xfId="0" applyNumberFormat="1" applyFont="1" applyFill="1" applyBorder="1"/>
    <x:xf numFmtId="203" fontId="9" fillId="10" borderId="0" xfId="0" applyNumberFormat="1" applyFont="1" applyFill="1" applyBorder="1"/>
    <x:xf numFmtId="200" fontId="9" fillId="10" borderId="0" xfId="0" applyNumberFormat="1" applyFont="1" applyFill="1" applyBorder="1"/>
    <x:xf numFmtId="202" fontId="11" fillId="10" borderId="0" xfId="0" applyNumberFormat="1" applyFont="1" applyFill="1" applyBorder="1"/>
    <x:xf numFmtId="203" fontId="11" fillId="10" borderId="0" xfId="0" applyNumberFormat="1" applyFont="1" applyFill="1" applyBorder="1"/>
    <x:xf numFmtId="200" fontId="11" fillId="10" borderId="0" xfId="0" applyNumberFormat="1" applyFont="1" applyFill="1" applyBorder="1"/>
    <x:xf numFmtId="0" fontId="5" fillId="6" borderId="0" xfId="0" applyNumberFormat="1" applyFont="1" applyFill="1" applyBorder="1" applyAlignment="1">
      <x:alignment wrapText="1"/>
    </x:xf>
    <x:xf numFmtId="0" fontId="5" fillId="6" borderId="0" xfId="0" applyNumberFormat="1" applyFont="1" applyFill="1" applyBorder="1" applyAlignment="1">
      <x:alignment horizontal="center" wrapText="1"/>
    </x:xf>
    <x:xf numFmtId="200" fontId="5" fillId="8" borderId="0" xfId="0" applyNumberFormat="1" applyFont="1" applyFill="1" applyBorder="1"/>
    <x:xf numFmtId="204" fontId="0" fillId="0" borderId="0" xfId="0" applyNumberFormat="1" applyFont="1" applyFill="1" applyBorder="1"/>
    <x:xf numFmtId="0" fontId="12" fillId="9" borderId="0" xfId="0" applyNumberFormat="1" applyFont="1" applyFill="1" applyBorder="1"/>
    <x:xf numFmtId="0" fontId="12" fillId="9" borderId="0" xfId="0" applyNumberFormat="1" applyFont="1" applyFill="1" applyBorder="1" applyAlignment="1">
      <x:alignment wrapText="1"/>
    </x:xf>
    <x:xf numFmtId="0" fontId="0" fillId="0" borderId="0" xfId="0" applyNumberFormat="1" applyFont="1" applyFill="1" applyBorder="1" applyAlignment="1">
      <x:alignment wrapText="1"/>
    </x:xf>
    <x:xf numFmtId="205" fontId="0" fillId="0" borderId="0" xfId="0" applyNumberFormat="1" applyFont="1" applyFill="1" applyBorder="1"/>
    <x:xf numFmtId="0" fontId="13" fillId="0" borderId="0" xfId="0" applyNumberFormat="1" applyFont="1" applyFill="1" applyBorder="1"/>
    <x:xf numFmtId="206" fontId="0" fillId="0" borderId="0" xfId="0" applyNumberFormat="1" applyFont="1" applyFill="1" applyBorder="1"/>
    <x:xf numFmtId="0" fontId="14" fillId="9" borderId="0" xfId="0" applyNumberFormat="1" applyFont="1" applyFill="1" applyBorder="1"/>
    <x:xf numFmtId="0" fontId="14" fillId="9" borderId="1" xfId="0" applyNumberFormat="1" applyFont="1" applyFill="1" applyBorder="1"/>
    <x:xf numFmtId="0" fontId="14" fillId="9" borderId="2" xfId="0" applyNumberFormat="1" applyFont="1" applyFill="1" applyBorder="1"/>
    <x:xf numFmtId="0" fontId="14" fillId="9" borderId="3" xfId="0" applyNumberFormat="1" applyFont="1" applyFill="1" applyBorder="1"/>
    <x:xf numFmtId="0" fontId="14" fillId="9" borderId="4" xfId="0" applyNumberFormat="1" applyFont="1" applyFill="1" applyBorder="1"/>
    <x:xf numFmtId="0" fontId="14" fillId="9" borderId="5" xfId="0" applyNumberFormat="1" applyFont="1" applyFill="1" applyBorder="1"/>
    <x:xf numFmtId="0" fontId="14" fillId="9" borderId="6" xfId="0" applyNumberFormat="1" applyFont="1" applyFill="1" applyBorder="1"/>
    <x:xf numFmtId="0" fontId="14" fillId="9" borderId="7" xfId="0" applyNumberFormat="1" applyFont="1" applyFill="1" applyBorder="1"/>
    <x:xf numFmtId="0" fontId="14" fillId="9" borderId="8" xfId="0" applyNumberFormat="1" applyFont="1" applyFill="1" applyBorder="1"/>
    <x:xf numFmtId="0" fontId="14" fillId="9" borderId="1" xfId="0" applyNumberFormat="1" applyFont="1" applyFill="1" applyBorder="1" applyAlignment="1">
      <x:alignment horizontal="center"/>
    </x:xf>
    <x:xf numFmtId="0" fontId="14" fillId="9" borderId="2" xfId="0" applyNumberFormat="1" applyFont="1" applyFill="1" applyBorder="1" applyAlignment="1">
      <x:alignment horizontal="center"/>
    </x:xf>
    <x:xf numFmtId="0" fontId="14" fillId="9" borderId="3" xfId="0" applyNumberFormat="1" applyFont="1" applyFill="1" applyBorder="1" applyAlignment="1">
      <x:alignment horizontal="center"/>
    </x:xf>
    <x:xf numFmtId="0" fontId="14" fillId="9" borderId="4" xfId="0" applyNumberFormat="1" applyFont="1" applyFill="1" applyBorder="1" applyAlignment="1">
      <x:alignment horizontal="center"/>
    </x:xf>
    <x:xf numFmtId="0" fontId="14" fillId="9" borderId="0" xfId="0" applyNumberFormat="1" applyFont="1" applyFill="1" applyBorder="1" applyAlignment="1">
      <x:alignment horizontal="center"/>
    </x:xf>
    <x:xf numFmtId="0" fontId="14" fillId="9" borderId="5" xfId="0" applyNumberFormat="1" applyFont="1" applyFill="1" applyBorder="1" applyAlignment="1">
      <x:alignment horizontal="center"/>
    </x:xf>
    <x:xf numFmtId="0" fontId="14" fillId="9" borderId="6" xfId="0" applyNumberFormat="1" applyFont="1" applyFill="1" applyBorder="1" applyAlignment="1">
      <x:alignment horizontal="center"/>
    </x:xf>
    <x:xf numFmtId="0" fontId="14" fillId="9" borderId="7" xfId="0" applyNumberFormat="1" applyFont="1" applyFill="1" applyBorder="1" applyAlignment="1">
      <x:alignment horizontal="center"/>
    </x:xf>
    <x:xf numFmtId="0" fontId="14" fillId="9" borderId="8" xfId="0" applyNumberFormat="1" applyFont="1" applyFill="1" applyBorder="1" applyAlignment="1">
      <x:alignment horizontal="center"/>
    </x:xf>
    <x:xf numFmtId="0" fontId="14" fillId="9" borderId="1" xfId="0" applyNumberFormat="1" applyFont="1" applyFill="1" applyBorder="1" applyAlignment="1">
      <x:alignment horizontal="center" vertical="center"/>
    </x:xf>
    <x:xf numFmtId="0" fontId="14" fillId="9" borderId="2" xfId="0" applyNumberFormat="1" applyFont="1" applyFill="1" applyBorder="1" applyAlignment="1">
      <x:alignment horizontal="center" vertical="center"/>
    </x:xf>
    <x:xf numFmtId="0" fontId="14" fillId="9" borderId="3" xfId="0" applyNumberFormat="1" applyFont="1" applyFill="1" applyBorder="1" applyAlignment="1">
      <x:alignment horizontal="center" vertical="center"/>
    </x:xf>
    <x:xf numFmtId="0" fontId="14" fillId="9" borderId="4" xfId="0" applyNumberFormat="1" applyFont="1" applyFill="1" applyBorder="1" applyAlignment="1">
      <x:alignment horizontal="center" vertical="center"/>
    </x:xf>
    <x:xf numFmtId="0" fontId="14" fillId="9" borderId="0" xfId="0" applyNumberFormat="1" applyFont="1" applyFill="1" applyBorder="1" applyAlignment="1">
      <x:alignment horizontal="center" vertical="center"/>
    </x:xf>
    <x:xf numFmtId="0" fontId="14" fillId="9" borderId="5" xfId="0" applyNumberFormat="1" applyFont="1" applyFill="1" applyBorder="1" applyAlignment="1">
      <x:alignment horizontal="center" vertical="center"/>
    </x:xf>
    <x:xf numFmtId="0" fontId="14" fillId="9" borderId="6" xfId="0" applyNumberFormat="1" applyFont="1" applyFill="1" applyBorder="1" applyAlignment="1">
      <x:alignment horizontal="center" vertical="center"/>
    </x:xf>
    <x:xf numFmtId="0" fontId="14" fillId="9" borderId="7" xfId="0" applyNumberFormat="1" applyFont="1" applyFill="1" applyBorder="1" applyAlignment="1">
      <x:alignment horizontal="center" vertical="center"/>
    </x:xf>
    <x:xf numFmtId="0" fontId="14" fillId="9" borderId="8" xfId="0" applyNumberFormat="1" applyFont="1" applyFill="1" applyBorder="1" applyAlignment="1">
      <x:alignment horizontal="center" vertical="center"/>
    </x:xf>
    <x:xf numFmtId="0" fontId="5" fillId="8" borderId="9" xfId="0" applyNumberFormat="1" applyFont="1" applyFill="1" applyBorder="1"/>
    <x:xf numFmtId="0" fontId="5" fillId="8" borderId="10" xfId="0" applyNumberFormat="1" applyFont="1" applyFill="1" applyBorder="1"/>
    <x:xf numFmtId="0" fontId="5" fillId="8" borderId="11" xfId="0" applyNumberFormat="1" applyFont="1" applyFill="1" applyBorder="1"/>
    <x:xf numFmtId="0" fontId="5" fillId="8" borderId="12" xfId="0" applyNumberFormat="1" applyFont="1" applyFill="1" applyBorder="1"/>
    <x:xf numFmtId="0" fontId="5" fillId="8" borderId="13" xfId="0" applyNumberFormat="1" applyFont="1" applyFill="1" applyBorder="1"/>
    <x:xf numFmtId="0" fontId="5" fillId="8" borderId="14" xfId="0" applyNumberFormat="1" applyFont="1" applyFill="1" applyBorder="1"/>
    <x:xf numFmtId="0" fontId="5" fillId="8" borderId="15" xfId="0" applyNumberFormat="1" applyFont="1" applyFill="1" applyBorder="1"/>
    <x:xf numFmtId="0" fontId="5" fillId="8" borderId="16" xfId="0" applyNumberFormat="1" applyFont="1" applyFill="1" applyBorder="1"/>
    <x:xf numFmtId="0" fontId="5" fillId="8" borderId="9" xfId="0" applyNumberFormat="1" applyFont="1" applyFill="1" applyBorder="1" applyAlignment="1">
      <x:alignment wrapText="1"/>
    </x:xf>
    <x:xf numFmtId="0" fontId="5" fillId="8" borderId="10" xfId="0" applyNumberFormat="1" applyFont="1" applyFill="1" applyBorder="1" applyAlignment="1">
      <x:alignment wrapText="1"/>
    </x:xf>
    <x:xf numFmtId="0" fontId="5" fillId="8" borderId="11" xfId="0" applyNumberFormat="1" applyFont="1" applyFill="1" applyBorder="1" applyAlignment="1">
      <x:alignment wrapText="1"/>
    </x:xf>
    <x:xf numFmtId="0" fontId="5" fillId="8" borderId="12" xfId="0" applyNumberFormat="1" applyFont="1" applyFill="1" applyBorder="1" applyAlignment="1">
      <x:alignment wrapText="1"/>
    </x:xf>
    <x:xf numFmtId="0" fontId="5" fillId="8" borderId="0" xfId="0" applyNumberFormat="1" applyFont="1" applyFill="1" applyBorder="1" applyAlignment="1">
      <x:alignment wrapText="1"/>
    </x:xf>
    <x:xf numFmtId="0" fontId="5" fillId="8" borderId="13" xfId="0" applyNumberFormat="1" applyFont="1" applyFill="1" applyBorder="1" applyAlignment="1">
      <x:alignment wrapText="1"/>
    </x:xf>
    <x:xf numFmtId="0" fontId="5" fillId="8" borderId="14" xfId="0" applyNumberFormat="1" applyFont="1" applyFill="1" applyBorder="1" applyAlignment="1">
      <x:alignment wrapText="1"/>
    </x:xf>
    <x:xf numFmtId="0" fontId="5" fillId="8" borderId="15" xfId="0" applyNumberFormat="1" applyFont="1" applyFill="1" applyBorder="1" applyAlignment="1">
      <x:alignment wrapText="1"/>
    </x:xf>
    <x:xf numFmtId="0" fontId="5" fillId="8" borderId="16" xfId="0" applyNumberFormat="1" applyFont="1" applyFill="1" applyBorder="1" applyAlignment="1">
      <x:alignment wrapText="1"/>
    </x:xf>
    <x:xf numFmtId="0" fontId="5" fillId="8" borderId="9" xfId="0" applyNumberFormat="1" applyFont="1" applyFill="1" applyBorder="1" applyAlignment="1">
      <x:alignment horizontal="center" wrapText="1"/>
    </x:xf>
    <x:xf numFmtId="0" fontId="5" fillId="8" borderId="10" xfId="0" applyNumberFormat="1" applyFont="1" applyFill="1" applyBorder="1" applyAlignment="1">
      <x:alignment horizontal="center" wrapText="1"/>
    </x:xf>
    <x:xf numFmtId="0" fontId="5" fillId="8" borderId="11" xfId="0" applyNumberFormat="1" applyFont="1" applyFill="1" applyBorder="1" applyAlignment="1">
      <x:alignment horizontal="center" wrapText="1"/>
    </x:xf>
    <x:xf numFmtId="0" fontId="5" fillId="8" borderId="12" xfId="0" applyNumberFormat="1" applyFont="1" applyFill="1" applyBorder="1" applyAlignment="1">
      <x:alignment horizontal="center" wrapText="1"/>
    </x:xf>
    <x:xf numFmtId="0" fontId="5" fillId="8" borderId="0" xfId="0" applyNumberFormat="1" applyFont="1" applyFill="1" applyBorder="1" applyAlignment="1">
      <x:alignment horizontal="center" wrapText="1"/>
    </x:xf>
    <x:xf numFmtId="0" fontId="5" fillId="8" borderId="13" xfId="0" applyNumberFormat="1" applyFont="1" applyFill="1" applyBorder="1" applyAlignment="1">
      <x:alignment horizontal="center" wrapText="1"/>
    </x:xf>
    <x:xf numFmtId="0" fontId="5" fillId="8" borderId="14" xfId="0" applyNumberFormat="1" applyFont="1" applyFill="1" applyBorder="1" applyAlignment="1">
      <x:alignment horizontal="center" wrapText="1"/>
    </x:xf>
    <x:xf numFmtId="0" fontId="5" fillId="8" borderId="15" xfId="0" applyNumberFormat="1" applyFont="1" applyFill="1" applyBorder="1" applyAlignment="1">
      <x:alignment horizontal="center" wrapText="1"/>
    </x:xf>
    <x:xf numFmtId="0" fontId="5" fillId="8" borderId="16" xfId="0" applyNumberFormat="1" applyFont="1" applyFill="1" applyBorder="1" applyAlignment="1">
      <x:alignment horizontal="center" wrapText="1"/>
    </x:xf>
    <x:xf numFmtId="0" fontId="5" fillId="8" borderId="9" xfId="0" applyNumberFormat="1" applyFont="1" applyFill="1" applyBorder="1" applyAlignment="1">
      <x:alignment horizontal="center" vertical="center" wrapText="1"/>
    </x:xf>
    <x:xf numFmtId="0" fontId="5" fillId="8" borderId="10" xfId="0" applyNumberFormat="1" applyFont="1" applyFill="1" applyBorder="1" applyAlignment="1">
      <x:alignment horizontal="center" vertical="center" wrapText="1"/>
    </x:xf>
    <x:xf numFmtId="0" fontId="5" fillId="8" borderId="11" xfId="0" applyNumberFormat="1" applyFont="1" applyFill="1" applyBorder="1" applyAlignment="1">
      <x:alignment horizontal="center" vertical="center" wrapText="1"/>
    </x:xf>
    <x:xf numFmtId="0" fontId="5" fillId="8" borderId="12" xfId="0" applyNumberFormat="1" applyFont="1" applyFill="1" applyBorder="1" applyAlignment="1">
      <x:alignment horizontal="center" vertical="center" wrapText="1"/>
    </x:xf>
    <x:xf numFmtId="0" fontId="5" fillId="8" borderId="0" xfId="0" applyNumberFormat="1" applyFont="1" applyFill="1" applyBorder="1" applyAlignment="1">
      <x:alignment horizontal="center" vertical="center" wrapText="1"/>
    </x:xf>
    <x:xf numFmtId="0" fontId="5" fillId="8" borderId="13" xfId="0" applyNumberFormat="1" applyFont="1" applyFill="1" applyBorder="1" applyAlignment="1">
      <x:alignment horizontal="center" vertical="center" wrapText="1"/>
    </x:xf>
    <x:xf numFmtId="0" fontId="5" fillId="8" borderId="14" xfId="0" applyNumberFormat="1" applyFont="1" applyFill="1" applyBorder="1" applyAlignment="1">
      <x:alignment horizontal="center" vertical="center" wrapText="1"/>
    </x:xf>
    <x:xf numFmtId="0" fontId="5" fillId="8" borderId="15" xfId="0" applyNumberFormat="1" applyFont="1" applyFill="1" applyBorder="1" applyAlignment="1">
      <x:alignment horizontal="center" vertical="center" wrapText="1"/>
    </x:xf>
    <x:xf numFmtId="0" fontId="5" fillId="8" borderId="16" xfId="0" applyNumberFormat="1" applyFont="1" applyFill="1" applyBorder="1" applyAlignment="1">
      <x:alignment horizontal="center" vertical="center" wrapText="1"/>
    </x:xf>
    <x:xf numFmtId="0" fontId="0" fillId="2" borderId="0" xfId="0" applyNumberFormat="1" applyFont="1" applyFill="1" applyBorder="1"/>
    <x:xf numFmtId="0" fontId="15" fillId="2" borderId="0" xfId="0" applyNumberFormat="1" applyFont="1" applyFill="1" applyBorder="1"/>
    <x:xf numFmtId="0" fontId="15" fillId="2" borderId="0" xfId="0" applyNumberFormat="1" applyFont="1" applyFill="1" applyBorder="1" applyAlignment="1">
      <x:alignment horizontal="center"/>
    </x:xf>
    <x:xf numFmtId="0" fontId="15" fillId="2" borderId="0" xfId="0" applyNumberFormat="1" applyFont="1" applyFill="1" applyBorder="1" applyAlignment="1">
      <x:alignment horizontal="center" vertical="center"/>
    </x:xf>
    <x:xf numFmtId="0" fontId="16" fillId="7" borderId="0" xfId="0" applyNumberFormat="1" applyFont="1" applyFill="1" applyBorder="1"/>
    <x:xf numFmtId="0" fontId="16" fillId="7" borderId="17" xfId="0" applyNumberFormat="1" applyFont="1" applyFill="1" applyBorder="1"/>
    <x:xf numFmtId="0" fontId="16" fillId="7" borderId="18" xfId="0" applyNumberFormat="1" applyFont="1" applyFill="1" applyBorder="1"/>
    <x:xf numFmtId="0" fontId="16" fillId="7" borderId="19" xfId="0" applyNumberFormat="1" applyFont="1" applyFill="1" applyBorder="1"/>
    <x:xf numFmtId="0" fontId="16" fillId="7" borderId="20" xfId="0" applyNumberFormat="1" applyFont="1" applyFill="1" applyBorder="1"/>
    <x:xf numFmtId="0" fontId="16" fillId="7" borderId="21" xfId="0" applyNumberFormat="1" applyFont="1" applyFill="1" applyBorder="1"/>
    <x:xf numFmtId="0" fontId="16" fillId="7" borderId="22" xfId="0" applyNumberFormat="1" applyFont="1" applyFill="1" applyBorder="1"/>
    <x:xf numFmtId="0" fontId="16" fillId="7" borderId="17" xfId="0" applyNumberFormat="1" applyFont="1" applyFill="1" applyBorder="1" applyAlignment="1">
      <x:alignment horizontal="center"/>
    </x:xf>
    <x:xf numFmtId="0" fontId="16" fillId="7" borderId="18" xfId="0" applyNumberFormat="1" applyFont="1" applyFill="1" applyBorder="1" applyAlignment="1">
      <x:alignment horizontal="center"/>
    </x:xf>
    <x:xf numFmtId="0" fontId="16" fillId="7" borderId="19" xfId="0" applyNumberFormat="1" applyFont="1" applyFill="1" applyBorder="1" applyAlignment="1">
      <x:alignment horizontal="center"/>
    </x:xf>
    <x:xf numFmtId="0" fontId="16" fillId="7" borderId="20" xfId="0" applyNumberFormat="1" applyFont="1" applyFill="1" applyBorder="1" applyAlignment="1">
      <x:alignment horizontal="center"/>
    </x:xf>
    <x:xf numFmtId="0" fontId="16" fillId="7" borderId="21" xfId="0" applyNumberFormat="1" applyFont="1" applyFill="1" applyBorder="1" applyAlignment="1">
      <x:alignment horizontal="center"/>
    </x:xf>
    <x:xf numFmtId="0" fontId="16" fillId="7" borderId="22" xfId="0" applyNumberFormat="1" applyFont="1" applyFill="1" applyBorder="1" applyAlignment="1">
      <x:alignment horizontal="center"/>
    </x:xf>
    <x:xf numFmtId="0" fontId="16" fillId="7" borderId="17" xfId="0" applyNumberFormat="1" applyFont="1" applyFill="1" applyBorder="1" applyAlignment="1">
      <x:alignment horizontal="center" vertical="center"/>
    </x:xf>
    <x:xf numFmtId="0" fontId="16" fillId="7" borderId="18" xfId="0" applyNumberFormat="1" applyFont="1" applyFill="1" applyBorder="1" applyAlignment="1">
      <x:alignment horizontal="center" vertical="center"/>
    </x:xf>
    <x:xf numFmtId="0" fontId="16" fillId="7" borderId="19" xfId="0" applyNumberFormat="1" applyFont="1" applyFill="1" applyBorder="1" applyAlignment="1">
      <x:alignment horizontal="center" vertical="center"/>
    </x:xf>
    <x:xf numFmtId="0" fontId="16" fillId="7" borderId="20" xfId="0" applyNumberFormat="1" applyFont="1" applyFill="1" applyBorder="1" applyAlignment="1">
      <x:alignment horizontal="center" vertical="center"/>
    </x:xf>
    <x:xf numFmtId="0" fontId="16" fillId="7" borderId="21" xfId="0" applyNumberFormat="1" applyFont="1" applyFill="1" applyBorder="1" applyAlignment="1">
      <x:alignment horizontal="center" vertical="center"/>
    </x:xf>
    <x:xf numFmtId="0" fontId="16" fillId="7" borderId="22" xfId="0" applyNumberFormat="1" applyFont="1" applyFill="1" applyBorder="1" applyAlignment="1">
      <x:alignment horizontal="center" vertical="center"/>
    </x:xf>
    <x:xf numFmtId="207" fontId="16" fillId="7" borderId="17" xfId="0" applyNumberFormat="1" applyFont="1" applyFill="1" applyBorder="1" applyAlignment="1">
      <x:alignment horizontal="center" vertical="center"/>
    </x:xf>
    <x:xf numFmtId="207" fontId="16" fillId="7" borderId="18" xfId="0" applyNumberFormat="1" applyFont="1" applyFill="1" applyBorder="1" applyAlignment="1">
      <x:alignment horizontal="center" vertical="center"/>
    </x:xf>
    <x:xf numFmtId="207" fontId="16" fillId="7" borderId="19" xfId="0" applyNumberFormat="1" applyFont="1" applyFill="1" applyBorder="1" applyAlignment="1">
      <x:alignment horizontal="center" vertical="center"/>
    </x:xf>
    <x:xf numFmtId="207" fontId="16" fillId="7" borderId="20" xfId="0" applyNumberFormat="1" applyFont="1" applyFill="1" applyBorder="1" applyAlignment="1">
      <x:alignment horizontal="center" vertical="center"/>
    </x:xf>
    <x:xf numFmtId="207" fontId="16" fillId="7" borderId="21" xfId="0" applyNumberFormat="1" applyFont="1" applyFill="1" applyBorder="1" applyAlignment="1">
      <x:alignment horizontal="center" vertical="center"/>
    </x:xf>
    <x:xf numFmtId="207" fontId="16" fillId="7" borderId="22" xfId="0" applyNumberFormat="1" applyFont="1" applyFill="1" applyBorder="1" applyAlignment="1">
      <x:alignment horizontal="center" vertical="center"/>
    </x:xf>
    <x:xf numFmtId="203" fontId="16" fillId="7" borderId="17" xfId="0" applyNumberFormat="1" applyFont="1" applyFill="1" applyBorder="1" applyAlignment="1">
      <x:alignment horizontal="center" vertical="center"/>
    </x:xf>
    <x:xf numFmtId="203" fontId="16" fillId="7" borderId="18" xfId="0" applyNumberFormat="1" applyFont="1" applyFill="1" applyBorder="1" applyAlignment="1">
      <x:alignment horizontal="center" vertical="center"/>
    </x:xf>
    <x:xf numFmtId="203" fontId="16" fillId="7" borderId="19" xfId="0" applyNumberFormat="1" applyFont="1" applyFill="1" applyBorder="1" applyAlignment="1">
      <x:alignment horizontal="center" vertical="center"/>
    </x:xf>
    <x:xf numFmtId="203" fontId="16" fillId="7" borderId="20" xfId="0" applyNumberFormat="1" applyFont="1" applyFill="1" applyBorder="1" applyAlignment="1">
      <x:alignment horizontal="center" vertical="center"/>
    </x:xf>
    <x:xf numFmtId="203" fontId="16" fillId="7" borderId="21" xfId="0" applyNumberFormat="1" applyFont="1" applyFill="1" applyBorder="1" applyAlignment="1">
      <x:alignment horizontal="center" vertical="center"/>
    </x:xf>
    <x:xf numFmtId="203" fontId="16" fillId="7" borderId="22" xfId="0" applyNumberFormat="1" applyFont="1" applyFill="1" applyBorder="1" applyAlignment="1">
      <x:alignment horizontal="center" vertical="center"/>
    </x:xf>
    <x:xf numFmtId="0" fontId="0" fillId="11" borderId="0" xfId="0" applyNumberFormat="1" applyFont="1" applyFill="1" applyBorder="1"/>
    <x:xf numFmtId="0" fontId="17" fillId="11" borderId="0" xfId="0" applyNumberFormat="1" applyFont="1" applyFill="1" applyBorder="1"/>
    <x:xf numFmtId="0" fontId="17" fillId="11" borderId="17" xfId="0" applyNumberFormat="1" applyFont="1" applyFill="1" applyBorder="1"/>
    <x:xf numFmtId="0" fontId="17" fillId="11" borderId="18" xfId="0" applyNumberFormat="1" applyFont="1" applyFill="1" applyBorder="1"/>
    <x:xf numFmtId="0" fontId="17" fillId="11" borderId="19" xfId="0" applyNumberFormat="1" applyFont="1" applyFill="1" applyBorder="1"/>
    <x:xf numFmtId="0" fontId="17" fillId="11" borderId="23" xfId="0" applyNumberFormat="1" applyFont="1" applyFill="1" applyBorder="1"/>
    <x:xf numFmtId="0" fontId="17" fillId="11" borderId="24" xfId="0" applyNumberFormat="1" applyFont="1" applyFill="1" applyBorder="1"/>
    <x:xf numFmtId="0" fontId="17" fillId="11" borderId="20" xfId="0" applyNumberFormat="1" applyFont="1" applyFill="1" applyBorder="1"/>
    <x:xf numFmtId="0" fontId="17" fillId="11" borderId="21" xfId="0" applyNumberFormat="1" applyFont="1" applyFill="1" applyBorder="1"/>
    <x:xf numFmtId="0" fontId="17" fillId="11" borderId="22" xfId="0" applyNumberFormat="1" applyFont="1" applyFill="1" applyBorder="1"/>
    <x:xf numFmtId="0" fontId="17" fillId="11" borderId="17" xfId="0" applyNumberFormat="1" applyFont="1" applyFill="1" applyBorder="1" applyAlignment="1">
      <x:alignment wrapText="1"/>
    </x:xf>
    <x:xf numFmtId="0" fontId="17" fillId="11" borderId="18" xfId="0" applyNumberFormat="1" applyFont="1" applyFill="1" applyBorder="1" applyAlignment="1">
      <x:alignment wrapText="1"/>
    </x:xf>
    <x:xf numFmtId="0" fontId="17" fillId="11" borderId="19" xfId="0" applyNumberFormat="1" applyFont="1" applyFill="1" applyBorder="1" applyAlignment="1">
      <x:alignment wrapText="1"/>
    </x:xf>
    <x:xf numFmtId="0" fontId="17" fillId="11" borderId="23" xfId="0" applyNumberFormat="1" applyFont="1" applyFill="1" applyBorder="1" applyAlignment="1">
      <x:alignment wrapText="1"/>
    </x:xf>
    <x:xf numFmtId="0" fontId="17" fillId="11" borderId="0" xfId="0" applyNumberFormat="1" applyFont="1" applyFill="1" applyBorder="1" applyAlignment="1">
      <x:alignment wrapText="1"/>
    </x:xf>
    <x:xf numFmtId="0" fontId="17" fillId="11" borderId="24" xfId="0" applyNumberFormat="1" applyFont="1" applyFill="1" applyBorder="1" applyAlignment="1">
      <x:alignment wrapText="1"/>
    </x:xf>
    <x:xf numFmtId="0" fontId="17" fillId="11" borderId="20" xfId="0" applyNumberFormat="1" applyFont="1" applyFill="1" applyBorder="1" applyAlignment="1">
      <x:alignment wrapText="1"/>
    </x:xf>
    <x:xf numFmtId="0" fontId="17" fillId="11" borderId="21" xfId="0" applyNumberFormat="1" applyFont="1" applyFill="1" applyBorder="1" applyAlignment="1">
      <x:alignment wrapText="1"/>
    </x:xf>
    <x:xf numFmtId="0" fontId="17" fillId="11" borderId="22" xfId="0" applyNumberFormat="1" applyFont="1" applyFill="1" applyBorder="1" applyAlignment="1">
      <x:alignment wrapText="1"/>
    </x:xf>
    <x:xf numFmtId="0" fontId="17" fillId="11" borderId="17" xfId="0" applyNumberFormat="1" applyFont="1" applyFill="1" applyBorder="1" applyAlignment="1">
      <x:alignment vertical="top" wrapText="1"/>
    </x:xf>
    <x:xf numFmtId="0" fontId="17" fillId="11" borderId="18" xfId="0" applyNumberFormat="1" applyFont="1" applyFill="1" applyBorder="1" applyAlignment="1">
      <x:alignment vertical="top" wrapText="1"/>
    </x:xf>
    <x:xf numFmtId="0" fontId="17" fillId="11" borderId="19" xfId="0" applyNumberFormat="1" applyFont="1" applyFill="1" applyBorder="1" applyAlignment="1">
      <x:alignment vertical="top" wrapText="1"/>
    </x:xf>
    <x:xf numFmtId="0" fontId="17" fillId="11" borderId="23" xfId="0" applyNumberFormat="1" applyFont="1" applyFill="1" applyBorder="1" applyAlignment="1">
      <x:alignment vertical="top" wrapText="1"/>
    </x:xf>
    <x:xf numFmtId="0" fontId="17" fillId="11" borderId="0" xfId="0" applyNumberFormat="1" applyFont="1" applyFill="1" applyBorder="1" applyAlignment="1">
      <x:alignment vertical="top" wrapText="1"/>
    </x:xf>
    <x:xf numFmtId="0" fontId="17" fillId="11" borderId="24" xfId="0" applyNumberFormat="1" applyFont="1" applyFill="1" applyBorder="1" applyAlignment="1">
      <x:alignment vertical="top" wrapText="1"/>
    </x:xf>
    <x:xf numFmtId="0" fontId="17" fillId="11" borderId="20" xfId="0" applyNumberFormat="1" applyFont="1" applyFill="1" applyBorder="1" applyAlignment="1">
      <x:alignment vertical="top" wrapText="1"/>
    </x:xf>
    <x:xf numFmtId="0" fontId="17" fillId="11" borderId="21" xfId="0" applyNumberFormat="1" applyFont="1" applyFill="1" applyBorder="1" applyAlignment="1">
      <x:alignment vertical="top" wrapText="1"/>
    </x:xf>
    <x:xf numFmtId="0" fontId="17" fillId="11" borderId="22" xfId="0" applyNumberFormat="1" applyFont="1" applyFill="1" applyBorder="1" applyAlignment="1">
      <x:alignment vertical="top" wrapText="1"/>
    </x:xf>
    <x:xf numFmtId="0" fontId="0" fillId="5" borderId="0" xfId="0" applyNumberFormat="1" applyFont="1" applyFill="1" applyBorder="1"/>
    <x:xf numFmtId="0" fontId="17" fillId="5" borderId="0" xfId="0" applyNumberFormat="1" applyFont="1" applyFill="1" applyBorder="1"/>
    <x:xf numFmtId="0" fontId="17" fillId="5" borderId="25" xfId="0" applyNumberFormat="1" applyFont="1" applyFill="1" applyBorder="1"/>
    <x:xf numFmtId="0" fontId="17" fillId="5" borderId="26" xfId="0" applyNumberFormat="1" applyFont="1" applyFill="1" applyBorder="1"/>
    <x:xf numFmtId="0" fontId="17" fillId="5" borderId="27" xfId="0" applyNumberFormat="1" applyFont="1" applyFill="1" applyBorder="1"/>
    <x:xf numFmtId="0" fontId="17" fillId="5" borderId="28" xfId="0" applyNumberFormat="1" applyFont="1" applyFill="1" applyBorder="1"/>
    <x:xf numFmtId="0" fontId="17" fillId="5" borderId="29" xfId="0" applyNumberFormat="1" applyFont="1" applyFill="1" applyBorder="1"/>
    <x:xf numFmtId="0" fontId="17" fillId="5" borderId="30" xfId="0" applyNumberFormat="1" applyFont="1" applyFill="1" applyBorder="1"/>
    <x:xf numFmtId="0" fontId="17" fillId="5" borderId="31" xfId="0" applyNumberFormat="1" applyFont="1" applyFill="1" applyBorder="1"/>
    <x:xf numFmtId="0" fontId="17" fillId="5" borderId="32" xfId="0" applyNumberFormat="1" applyFont="1" applyFill="1" applyBorder="1"/>
    <x:xf numFmtId="0" fontId="17" fillId="5" borderId="25" xfId="0" applyNumberFormat="1" applyFont="1" applyFill="1" applyBorder="1" applyAlignment="1">
      <x:alignment wrapText="1"/>
    </x:xf>
    <x:xf numFmtId="0" fontId="17" fillId="5" borderId="26" xfId="0" applyNumberFormat="1" applyFont="1" applyFill="1" applyBorder="1" applyAlignment="1">
      <x:alignment wrapText="1"/>
    </x:xf>
    <x:xf numFmtId="0" fontId="17" fillId="5" borderId="27" xfId="0" applyNumberFormat="1" applyFont="1" applyFill="1" applyBorder="1" applyAlignment="1">
      <x:alignment wrapText="1"/>
    </x:xf>
    <x:xf numFmtId="0" fontId="17" fillId="5" borderId="28" xfId="0" applyNumberFormat="1" applyFont="1" applyFill="1" applyBorder="1" applyAlignment="1">
      <x:alignment wrapText="1"/>
    </x:xf>
    <x:xf numFmtId="0" fontId="17" fillId="5" borderId="0" xfId="0" applyNumberFormat="1" applyFont="1" applyFill="1" applyBorder="1" applyAlignment="1">
      <x:alignment wrapText="1"/>
    </x:xf>
    <x:xf numFmtId="0" fontId="17" fillId="5" borderId="29" xfId="0" applyNumberFormat="1" applyFont="1" applyFill="1" applyBorder="1" applyAlignment="1">
      <x:alignment wrapText="1"/>
    </x:xf>
    <x:xf numFmtId="0" fontId="17" fillId="5" borderId="30" xfId="0" applyNumberFormat="1" applyFont="1" applyFill="1" applyBorder="1" applyAlignment="1">
      <x:alignment wrapText="1"/>
    </x:xf>
    <x:xf numFmtId="0" fontId="17" fillId="5" borderId="31" xfId="0" applyNumberFormat="1" applyFont="1" applyFill="1" applyBorder="1" applyAlignment="1">
      <x:alignment wrapText="1"/>
    </x:xf>
    <x:xf numFmtId="0" fontId="17" fillId="5" borderId="32" xfId="0" applyNumberFormat="1" applyFont="1" applyFill="1" applyBorder="1" applyAlignment="1">
      <x:alignment wrapText="1"/>
    </x:xf>
    <x:xf numFmtId="0" fontId="17" fillId="5" borderId="25" xfId="0" applyNumberFormat="1" applyFont="1" applyFill="1" applyBorder="1" applyAlignment="1">
      <x:alignment vertical="top" wrapText="1"/>
    </x:xf>
    <x:xf numFmtId="0" fontId="17" fillId="5" borderId="26" xfId="0" applyNumberFormat="1" applyFont="1" applyFill="1" applyBorder="1" applyAlignment="1">
      <x:alignment vertical="top" wrapText="1"/>
    </x:xf>
    <x:xf numFmtId="0" fontId="17" fillId="5" borderId="27" xfId="0" applyNumberFormat="1" applyFont="1" applyFill="1" applyBorder="1" applyAlignment="1">
      <x:alignment vertical="top" wrapText="1"/>
    </x:xf>
    <x:xf numFmtId="0" fontId="17" fillId="5" borderId="28" xfId="0" applyNumberFormat="1" applyFont="1" applyFill="1" applyBorder="1" applyAlignment="1">
      <x:alignment vertical="top" wrapText="1"/>
    </x:xf>
    <x:xf numFmtId="0" fontId="17" fillId="5" borderId="0" xfId="0" applyNumberFormat="1" applyFont="1" applyFill="1" applyBorder="1" applyAlignment="1">
      <x:alignment vertical="top" wrapText="1"/>
    </x:xf>
    <x:xf numFmtId="0" fontId="17" fillId="5" borderId="29" xfId="0" applyNumberFormat="1" applyFont="1" applyFill="1" applyBorder="1" applyAlignment="1">
      <x:alignment vertical="top" wrapText="1"/>
    </x:xf>
    <x:xf numFmtId="0" fontId="17" fillId="5" borderId="30" xfId="0" applyNumberFormat="1" applyFont="1" applyFill="1" applyBorder="1" applyAlignment="1">
      <x:alignment vertical="top" wrapText="1"/>
    </x:xf>
    <x:xf numFmtId="0" fontId="17" fillId="5" borderId="31" xfId="0" applyNumberFormat="1" applyFont="1" applyFill="1" applyBorder="1" applyAlignment="1">
      <x:alignment vertical="top" wrapText="1"/>
    </x:xf>
    <x:xf numFmtId="0" fontId="17" fillId="5" borderId="32" xfId="0" applyNumberFormat="1" applyFont="1" applyFill="1" applyBorder="1" applyAlignment="1">
      <x:alignment vertical="top" wrapText="1"/>
    </x:xf>
    <x:xf numFmtId="0" fontId="7" fillId="6" borderId="0" xfId="0" applyNumberFormat="1" applyFont="1" applyFill="1" applyBorder="1"/>
    <x:xf numFmtId="0" fontId="7" fillId="6" borderId="0" xfId="0" applyNumberFormat="1" applyFont="1" applyFill="1" applyBorder="1" applyAlignment="1">
      <x:alignment wrapText="1"/>
    </x:xf>
    <x:xf numFmtId="0" fontId="7" fillId="6" borderId="0" xfId="0" applyNumberFormat="1" applyFont="1" applyFill="1" applyBorder="1" applyAlignment="1">
      <x:alignment horizontal="center" wrapText="1"/>
    </x:xf>
    <x:xf numFmtId="0" fontId="7" fillId="6" borderId="0" xfId="0" applyNumberFormat="1" applyFont="1" applyFill="1" applyBorder="1" applyAlignment="1">
      <x:alignment horizontal="center" vertical="center" wrapText="1"/>
    </x:xf>
    <x:xf numFmtId="0" fontId="1" fillId="0" borderId="0" xfId="0" applyNumberFormat="1" applyFont="1" applyFill="1" applyBorder="1" applyAlignment="1">
      <x:alignment vertical="center"/>
    </x:xf>
    <x:xf numFmtId="0" fontId="3" fillId="3"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5" fillId="0" borderId="0" xfId="0" applyNumberFormat="1" applyFont="1" applyFill="1" applyBorder="1" applyAlignment="1">
      <x:alignment vertical="center"/>
    </x:xf>
    <x:xf numFmtId="0" fontId="6" fillId="5" borderId="0" xfId="0" applyNumberFormat="1" applyFont="1" applyFill="1" applyBorder="1" applyAlignment="1">
      <x:alignment vertical="center"/>
    </x:xf>
    <x:xf numFmtId="200" fontId="6" fillId="5" borderId="0" xfId="0" applyNumberFormat="1" applyFont="1" applyFill="1" applyBorder="1" applyAlignment="1">
      <x:alignment vertical="center"/>
    </x:xf>
    <x:xf numFmtId="201" fontId="6" fillId="5" borderId="0" xfId="0" applyNumberFormat="1" applyFont="1" applyFill="1" applyBorder="1" applyAlignment="1">
      <x:alignment vertical="center"/>
    </x:xf>
    <x:xf numFmtId="0" fontId="5" fillId="6" borderId="0" xfId="0" applyNumberFormat="1" applyFont="1" applyFill="1" applyBorder="1" applyAlignment="1">
      <x:alignment horizontal="center" vertical="center"/>
    </x:xf>
    <x:xf numFmtId="0" fontId="7" fillId="7" borderId="0" xfId="0" applyNumberFormat="1" applyFont="1" applyFill="1" applyBorder="1" applyAlignment="1">
      <x:alignment vertical="center" wrapText="1"/>
    </x:xf>
    <x:xf numFmtId="200" fontId="8" fillId="0" borderId="0" xfId="0" applyNumberFormat="1" applyFont="1" applyFill="1" applyBorder="1" applyAlignment="1">
      <x:alignment vertical="center"/>
    </x:xf>
    <x:xf numFmtId="201" fontId="8" fillId="0" borderId="0" xfId="0" applyNumberFormat="1" applyFont="1" applyFill="1" applyBorder="1" applyAlignment="1">
      <x:alignment vertical="center"/>
    </x:xf>
    <x:xf numFmtId="202" fontId="8" fillId="0" borderId="0" xfId="0" applyNumberFormat="1" applyFont="1" applyFill="1" applyBorder="1" applyAlignment="1">
      <x:alignment vertical="center"/>
    </x:xf>
    <x:xf numFmtId="203" fontId="8" fillId="0" borderId="0" xfId="0" applyNumberFormat="1" applyFont="1" applyFill="1" applyBorder="1" applyAlignment="1">
      <x:alignment vertical="center"/>
    </x:xf>
    <x:xf numFmtId="0" fontId="0" fillId="8" borderId="0" xfId="0" applyNumberFormat="1" applyFont="1" applyFill="1" applyBorder="1" applyAlignment="1">
      <x:alignment vertical="center" wrapText="1"/>
    </x:xf>
    <x:xf numFmtId="200" fontId="9" fillId="0" borderId="0" xfId="0" applyNumberFormat="1" applyFont="1" applyFill="1" applyBorder="1" applyAlignment="1">
      <x:alignment vertical="center"/>
    </x:xf>
    <x:xf numFmtId="201" fontId="9" fillId="0" borderId="0" xfId="0" applyNumberFormat="1" applyFont="1" applyFill="1" applyBorder="1" applyAlignment="1">
      <x:alignment vertical="center"/>
    </x:xf>
    <x:xf numFmtId="202" fontId="9" fillId="0" borderId="0" xfId="0" applyNumberFormat="1" applyFont="1" applyFill="1" applyBorder="1" applyAlignment="1">
      <x:alignment vertical="center"/>
    </x:xf>
    <x:xf numFmtId="202" fontId="0" fillId="0" borderId="0" xfId="0" applyNumberFormat="1" applyFont="1" applyFill="1" applyBorder="1" applyAlignment="1">
      <x:alignment vertical="center"/>
    </x:xf>
    <x:xf numFmtId="0" fontId="5" fillId="8" borderId="0" xfId="0" applyNumberFormat="1" applyFont="1" applyFill="1" applyBorder="1" applyAlignment="1">
      <x:alignment vertical="center"/>
    </x:xf>
    <x:xf numFmtId="202" fontId="5" fillId="8" borderId="0" xfId="0" applyNumberFormat="1" applyFont="1" applyFill="1" applyBorder="1" applyAlignment="1">
      <x:alignment vertical="center"/>
    </x:xf>
    <x:xf numFmtId="202" fontId="11" fillId="8" borderId="0" xfId="0" applyNumberFormat="1" applyFont="1" applyFill="1" applyBorder="1" applyAlignment="1">
      <x:alignment vertical="center"/>
    </x:xf>
    <x:xf numFmtId="201" fontId="5" fillId="8" borderId="0" xfId="0" applyNumberFormat="1" applyFont="1" applyFill="1" applyBorder="1" applyAlignment="1">
      <x:alignment vertical="center"/>
    </x:xf>
    <x:xf numFmtId="201" fontId="11" fillId="8" borderId="0" xfId="0" applyNumberFormat="1" applyFont="1" applyFill="1" applyBorder="1" applyAlignment="1">
      <x:alignment vertical="center"/>
    </x:xf>
    <x:xf numFmtId="0" fontId="9" fillId="0" borderId="0" xfId="0" applyNumberFormat="1" applyFont="1" applyFill="1" applyBorder="1" applyAlignment="1">
      <x:alignment vertical="center"/>
    </x:xf>
    <x:xf numFmtId="0" fontId="5" fillId="9" borderId="0" xfId="0" applyNumberFormat="1" applyFont="1" applyFill="1" applyBorder="1" applyAlignment="1">
      <x:alignment vertical="center"/>
    </x:xf>
    <x:xf numFmtId="202" fontId="11" fillId="9" borderId="0" xfId="0" applyNumberFormat="1" applyFont="1" applyFill="1" applyBorder="1" applyAlignment="1">
      <x:alignment vertical="center"/>
    </x:xf>
    <x:xf numFmtId="203" fontId="11" fillId="9" borderId="0" xfId="0" applyNumberFormat="1" applyFont="1" applyFill="1" applyBorder="1" applyAlignment="1">
      <x:alignment vertical="center"/>
    </x:xf>
    <x:xf numFmtId="200" fontId="11" fillId="9" borderId="0" xfId="0" applyNumberFormat="1" applyFont="1" applyFill="1" applyBorder="1" applyAlignment="1">
      <x:alignment vertical="center"/>
    </x:xf>
    <x:xf numFmtId="0" fontId="5" fillId="10" borderId="0" xfId="0" applyNumberFormat="1" applyFont="1" applyFill="1" applyBorder="1" applyAlignment="1">
      <x:alignment vertical="center"/>
    </x:xf>
    <x:xf numFmtId="202" fontId="11" fillId="10" borderId="0" xfId="0" applyNumberFormat="1" applyFont="1" applyFill="1" applyBorder="1" applyAlignment="1">
      <x:alignment vertical="center"/>
    </x:xf>
    <x:xf numFmtId="203" fontId="11" fillId="10" borderId="0" xfId="0" applyNumberFormat="1" applyFont="1" applyFill="1" applyBorder="1" applyAlignment="1">
      <x:alignment vertical="center"/>
    </x:xf>
    <x:xf numFmtId="200" fontId="11" fillId="10" borderId="0" xfId="0" applyNumberFormat="1" applyFont="1" applyFill="1" applyBorder="1" applyAlignment="1">
      <x:alignment vertical="center"/>
    </x:xf>
    <x:xf numFmtId="0" fontId="5" fillId="6" borderId="0" xfId="0" applyNumberFormat="1" applyFont="1" applyFill="1" applyBorder="1" applyAlignment="1">
      <x:alignment horizontal="center" vertical="center" wrapText="1"/>
    </x:xf>
    <x:xf numFmtId="200" fontId="0" fillId="0" borderId="0" xfId="0" applyNumberFormat="1" applyFont="1" applyFill="1" applyBorder="1" applyAlignment="1">
      <x:alignment vertical="center"/>
    </x:xf>
    <x:xf numFmtId="204" fontId="0" fillId="0" borderId="0" xfId="0" applyNumberFormat="1" applyFont="1" applyFill="1" applyBorder="1" applyAlignment="1">
      <x:alignment vertical="center"/>
    </x:xf>
    <x:xf numFmtId="201" fontId="0" fillId="0" borderId="0" xfId="0" applyNumberFormat="1" applyFont="1" applyFill="1" applyBorder="1" applyAlignment="1">
      <x:alignment vertical="center"/>
    </x:xf>
    <x:xf numFmtId="200" fontId="5" fillId="8" borderId="0" xfId="0" applyNumberFormat="1" applyFont="1" applyFill="1" applyBorder="1" applyAlignment="1">
      <x:alignment vertical="center"/>
    </x:xf>
    <x:xf numFmtId="0" fontId="12" fillId="9" borderId="0" xfId="0" applyNumberFormat="1" applyFont="1" applyFill="1" applyBorder="1" applyAlignment="1">
      <x:alignment vertical="center"/>
    </x:xf>
    <x:xf numFmtId="0" fontId="12" fillId="9" borderId="0" xfId="0" applyNumberFormat="1" applyFont="1" applyFill="1" applyBorder="1" applyAlignment="1">
      <x:alignment vertical="center" wrapText="1"/>
    </x:xf>
    <x:xf numFmtId="0" fontId="0" fillId="0" borderId="0" xfId="0" applyNumberFormat="1" applyFont="1" applyFill="1" applyBorder="1" applyAlignment="1">
      <x:alignment vertical="center" wrapText="1"/>
    </x:xf>
    <x:xf numFmtId="205" fontId="0" fillId="0" borderId="0" xfId="0" applyNumberFormat="1" applyFont="1" applyFill="1" applyBorder="1" applyAlignment="1">
      <x:alignment vertical="center"/>
    </x:xf>
    <x:xf numFmtId="203" fontId="0" fillId="0" borderId="0" xfId="0" applyNumberFormat="1" applyFont="1" applyFill="1" applyBorder="1" applyAlignment="1">
      <x:alignment vertical="center"/>
    </x:xf>
    <x:xf numFmtId="0" fontId="13" fillId="0" borderId="0" xfId="0" applyNumberFormat="1" applyFont="1" applyFill="1" applyBorder="1" applyAlignment="1">
      <x:alignment vertical="center"/>
    </x:xf>
    <x:xf numFmtId="206" fontId="0" fillId="0" borderId="0" xfId="0" applyNumberFormat="1" applyFont="1" applyFill="1" applyBorder="1" applyAlignment="1">
      <x:alignment vertical="center"/>
    </x:xf>
    <x:xf numFmtId="0" fontId="2" fillId="2" borderId="33" xfId="0" applyNumberFormat="1" applyFont="1" applyFill="1" applyBorder="1" applyAlignment="1">
      <x:alignment horizontal="left" vertical="center"/>
    </x:xf>
    <x:xf numFmtId="0" fontId="2" fillId="2" borderId="34" xfId="0" applyNumberFormat="1" applyFont="1" applyFill="1" applyBorder="1" applyAlignment="1">
      <x:alignment horizontal="left" vertical="center"/>
    </x:xf>
    <x:xf numFmtId="0" fontId="2" fillId="2" borderId="35" xfId="0" applyNumberFormat="1" applyFont="1" applyFill="1" applyBorder="1" applyAlignment="1">
      <x:alignment horizontal="left" vertical="center"/>
    </x:xf>
    <x:xf numFmtId="0" fontId="3" fillId="3" borderId="36" xfId="0" applyNumberFormat="1" applyFont="1" applyFill="1" applyBorder="1" applyAlignment="1">
      <x:alignment vertical="center" wrapText="1"/>
    </x:xf>
    <x:xf numFmtId="0" fontId="3" fillId="3" borderId="37" xfId="0" applyNumberFormat="1" applyFont="1" applyFill="1" applyBorder="1" applyAlignment="1">
      <x:alignment vertical="center" wrapText="1"/>
    </x:xf>
    <x:xf numFmtId="0" fontId="3" fillId="3" borderId="38" xfId="0" applyNumberFormat="1" applyFont="1" applyFill="1" applyBorder="1" applyAlignment="1">
      <x:alignment vertical="center" wrapText="1"/>
    </x:xf>
    <x:xf numFmtId="0" fontId="0" fillId="0" borderId="36" xfId="0" applyNumberFormat="1" applyFont="1" applyFill="1" applyBorder="1" applyAlignment="1">
      <x:alignment vertical="center"/>
    </x:xf>
    <x:xf numFmtId="0" fontId="0" fillId="0" borderId="37" xfId="0" applyNumberFormat="1" applyFont="1" applyFill="1" applyBorder="1" applyAlignment="1">
      <x:alignment vertical="center"/>
    </x:xf>
    <x:xf numFmtId="0" fontId="0" fillId="0" borderId="38" xfId="0" applyNumberFormat="1" applyFont="1" applyFill="1" applyBorder="1" applyAlignment="1">
      <x:alignment vertical="center"/>
    </x:xf>
    <x:xf numFmtId="0" fontId="5" fillId="6" borderId="37" xfId="0" applyNumberFormat="1" applyFont="1" applyFill="1" applyBorder="1" applyAlignment="1">
      <x:alignment horizontal="center" vertical="center"/>
    </x:xf>
    <x:xf numFmtId="0" fontId="5" fillId="6" borderId="38" xfId="0" applyNumberFormat="1" applyFont="1" applyFill="1" applyBorder="1" applyAlignment="1">
      <x:alignment horizontal="center" vertical="center"/>
    </x:xf>
    <x:xf numFmtId="0" fontId="4" fillId="4" borderId="36" xfId="0" applyNumberFormat="1" applyFont="1" applyFill="1" applyBorder="1" applyAlignment="1">
      <x:alignment vertical="center"/>
    </x:xf>
    <x:xf numFmtId="0" fontId="4" fillId="4" borderId="37" xfId="0" applyNumberFormat="1" applyFont="1" applyFill="1" applyBorder="1" applyAlignment="1">
      <x:alignment vertical="center"/>
    </x:xf>
    <x:xf numFmtId="0" fontId="4" fillId="4" borderId="38" xfId="0" applyNumberFormat="1" applyFont="1" applyFill="1" applyBorder="1" applyAlignment="1">
      <x:alignment vertical="center"/>
    </x:xf>
    <x:xf numFmtId="0" fontId="5" fillId="0" borderId="36" xfId="0" applyNumberFormat="1" applyFont="1" applyFill="1" applyBorder="1" applyAlignment="1">
      <x:alignment vertical="center"/>
    </x:xf>
    <x:xf numFmtId="200" fontId="8" fillId="0" borderId="37" xfId="0" applyNumberFormat="1" applyFont="1" applyFill="1" applyBorder="1" applyAlignment="1">
      <x:alignment vertical="center"/>
    </x:xf>
    <x:xf numFmtId="200" fontId="9" fillId="0" borderId="37" xfId="0" applyNumberFormat="1" applyFont="1" applyFill="1" applyBorder="1" applyAlignment="1">
      <x:alignment vertical="center"/>
    </x:xf>
    <x:xf numFmtId="200" fontId="9" fillId="0" borderId="38" xfId="0" applyNumberFormat="1" applyFont="1" applyFill="1" applyBorder="1" applyAlignment="1">
      <x:alignment vertical="center"/>
    </x:xf>
    <x:xf numFmtId="201" fontId="8" fillId="0" borderId="37" xfId="0" applyNumberFormat="1" applyFont="1" applyFill="1" applyBorder="1" applyAlignment="1">
      <x:alignment vertical="center"/>
    </x:xf>
    <x:xf numFmtId="201" fontId="9" fillId="0" borderId="37" xfId="0" applyNumberFormat="1" applyFont="1" applyFill="1" applyBorder="1" applyAlignment="1">
      <x:alignment vertical="center"/>
    </x:xf>
    <x:xf numFmtId="201" fontId="9" fillId="0" borderId="38" xfId="0" applyNumberFormat="1" applyFont="1" applyFill="1" applyBorder="1" applyAlignment="1">
      <x:alignment vertical="center"/>
    </x:xf>
    <x:xf numFmtId="202" fontId="8" fillId="0" borderId="37" xfId="0" applyNumberFormat="1" applyFont="1" applyFill="1" applyBorder="1" applyAlignment="1">
      <x:alignment vertical="center"/>
    </x:xf>
    <x:xf numFmtId="202" fontId="9" fillId="0" borderId="37" xfId="0" applyNumberFormat="1" applyFont="1" applyFill="1" applyBorder="1" applyAlignment="1">
      <x:alignment vertical="center"/>
    </x:xf>
    <x:xf numFmtId="202" fontId="9" fillId="0" borderId="38" xfId="0" applyNumberFormat="1" applyFont="1" applyFill="1" applyBorder="1" applyAlignment="1">
      <x:alignment vertical="center"/>
    </x:xf>
    <x:xf numFmtId="202" fontId="0" fillId="0" borderId="37" xfId="0" applyNumberFormat="1" applyFont="1" applyFill="1" applyBorder="1" applyAlignment="1">
      <x:alignment vertical="center"/>
    </x:xf>
    <x:xf numFmtId="0" fontId="5" fillId="8" borderId="36" xfId="0" applyNumberFormat="1" applyFont="1" applyFill="1" applyBorder="1" applyAlignment="1">
      <x:alignment vertical="center"/>
    </x:xf>
    <x:xf numFmtId="202" fontId="5" fillId="8" borderId="37" xfId="0" applyNumberFormat="1" applyFont="1" applyFill="1" applyBorder="1" applyAlignment="1">
      <x:alignment vertical="center"/>
    </x:xf>
    <x:xf numFmtId="202" fontId="11" fillId="8" borderId="37" xfId="0" applyNumberFormat="1" applyFont="1" applyFill="1" applyBorder="1" applyAlignment="1">
      <x:alignment vertical="center"/>
    </x:xf>
    <x:xf numFmtId="202" fontId="11" fillId="8" borderId="38" xfId="0" applyNumberFormat="1" applyFont="1" applyFill="1" applyBorder="1" applyAlignment="1">
      <x:alignment vertical="center"/>
    </x:xf>
    <x:xf numFmtId="201" fontId="5" fillId="8" borderId="37" xfId="0" applyNumberFormat="1" applyFont="1" applyFill="1" applyBorder="1" applyAlignment="1">
      <x:alignment vertical="center"/>
    </x:xf>
    <x:xf numFmtId="201" fontId="11" fillId="8" borderId="37" xfId="0" applyNumberFormat="1" applyFont="1" applyFill="1" applyBorder="1" applyAlignment="1">
      <x:alignment vertical="center"/>
    </x:xf>
    <x:xf numFmtId="201" fontId="11" fillId="8" borderId="38" xfId="0" applyNumberFormat="1" applyFont="1" applyFill="1" applyBorder="1" applyAlignment="1">
      <x:alignment vertical="center"/>
    </x:xf>
    <x:xf numFmtId="0" fontId="9" fillId="0" borderId="37" xfId="0" applyNumberFormat="1" applyFont="1" applyFill="1" applyBorder="1" applyAlignment="1">
      <x:alignment vertical="center"/>
    </x:xf>
    <x:xf numFmtId="0" fontId="9" fillId="0" borderId="38" xfId="0" applyNumberFormat="1" applyFont="1" applyFill="1" applyBorder="1" applyAlignment="1">
      <x:alignment vertical="center"/>
    </x:xf>
    <x:xf numFmtId="0" fontId="10" fillId="4" borderId="37" xfId="0" applyNumberFormat="1" applyFont="1" applyFill="1" applyBorder="1" applyAlignment="1">
      <x:alignment vertical="center"/>
    </x:xf>
    <x:xf numFmtId="0" fontId="10" fillId="4" borderId="38" xfId="0" applyNumberFormat="1" applyFont="1" applyFill="1" applyBorder="1" applyAlignment="1">
      <x:alignment vertical="center"/>
    </x:xf>
    <x:xf numFmtId="0" fontId="5" fillId="9" borderId="36" xfId="0" applyNumberFormat="1" applyFont="1" applyFill="1" applyBorder="1" applyAlignment="1">
      <x:alignment vertical="center"/>
    </x:xf>
    <x:xf numFmtId="0" fontId="5" fillId="9" borderId="37" xfId="0" applyNumberFormat="1" applyFont="1" applyFill="1" applyBorder="1" applyAlignment="1">
      <x:alignment vertical="center"/>
    </x:xf>
    <x:xf numFmtId="202" fontId="11" fillId="9" borderId="37" xfId="0" applyNumberFormat="1" applyFont="1" applyFill="1" applyBorder="1" applyAlignment="1">
      <x:alignment vertical="center"/>
    </x:xf>
    <x:xf numFmtId="202" fontId="11" fillId="9" borderId="38" xfId="0" applyNumberFormat="1" applyFont="1" applyFill="1" applyBorder="1" applyAlignment="1">
      <x:alignment vertical="center"/>
    </x:xf>
    <x:xf numFmtId="203" fontId="11" fillId="9" borderId="37" xfId="0" applyNumberFormat="1" applyFont="1" applyFill="1" applyBorder="1" applyAlignment="1">
      <x:alignment vertical="center"/>
    </x:xf>
    <x:xf numFmtId="203" fontId="11" fillId="9" borderId="38" xfId="0" applyNumberFormat="1" applyFont="1" applyFill="1" applyBorder="1" applyAlignment="1">
      <x:alignment vertical="center"/>
    </x:xf>
    <x:xf numFmtId="0" fontId="5" fillId="9" borderId="39" xfId="0" applyNumberFormat="1" applyFont="1" applyFill="1" applyBorder="1" applyAlignment="1">
      <x:alignment vertical="center"/>
    </x:xf>
    <x:xf numFmtId="0" fontId="5" fillId="9" borderId="40" xfId="0" applyNumberFormat="1" applyFont="1" applyFill="1" applyBorder="1" applyAlignment="1">
      <x:alignment vertical="center"/>
    </x:xf>
    <x:xf numFmtId="200" fontId="11" fillId="9" borderId="40" xfId="0" applyNumberFormat="1" applyFont="1" applyFill="1" applyBorder="1" applyAlignment="1">
      <x:alignment vertical="center"/>
    </x:xf>
    <x:xf numFmtId="200" fontId="11" fillId="9" borderId="41" xfId="0" applyNumberFormat="1" applyFont="1" applyFill="1" applyBorder="1" applyAlignment="1">
      <x:alignment vertical="center"/>
    </x:xf>
    <x:xf numFmtId="0" fontId="5" fillId="10" borderId="36" xfId="0" applyNumberFormat="1" applyFont="1" applyFill="1" applyBorder="1" applyAlignment="1">
      <x:alignment vertical="center"/>
    </x:xf>
    <x:xf numFmtId="0" fontId="5" fillId="10" borderId="37" xfId="0" applyNumberFormat="1" applyFont="1" applyFill="1" applyBorder="1" applyAlignment="1">
      <x:alignment vertical="center"/>
    </x:xf>
    <x:xf numFmtId="202" fontId="11" fillId="10" borderId="37" xfId="0" applyNumberFormat="1" applyFont="1" applyFill="1" applyBorder="1" applyAlignment="1">
      <x:alignment vertical="center"/>
    </x:xf>
    <x:xf numFmtId="202" fontId="11" fillId="10" borderId="38" xfId="0" applyNumberFormat="1" applyFont="1" applyFill="1" applyBorder="1" applyAlignment="1">
      <x:alignment vertical="center"/>
    </x:xf>
    <x:xf numFmtId="203" fontId="11" fillId="10" borderId="37" xfId="0" applyNumberFormat="1" applyFont="1" applyFill="1" applyBorder="1" applyAlignment="1">
      <x:alignment vertical="center"/>
    </x:xf>
    <x:xf numFmtId="203" fontId="11" fillId="10" borderId="38" xfId="0" applyNumberFormat="1" applyFont="1" applyFill="1" applyBorder="1" applyAlignment="1">
      <x:alignment vertical="center"/>
    </x:xf>
    <x:xf numFmtId="0" fontId="5" fillId="10" borderId="39" xfId="0" applyNumberFormat="1" applyFont="1" applyFill="1" applyBorder="1" applyAlignment="1">
      <x:alignment vertical="center"/>
    </x:xf>
    <x:xf numFmtId="0" fontId="5" fillId="10" borderId="40" xfId="0" applyNumberFormat="1" applyFont="1" applyFill="1" applyBorder="1" applyAlignment="1">
      <x:alignment vertical="center"/>
    </x:xf>
    <x:xf numFmtId="200" fontId="11" fillId="10" borderId="40" xfId="0" applyNumberFormat="1" applyFont="1" applyFill="1" applyBorder="1" applyAlignment="1">
      <x:alignment vertical="center"/>
    </x:xf>
    <x:xf numFmtId="200" fontId="11" fillId="10" borderId="41" xfId="0" applyNumberFormat="1" applyFont="1" applyFill="1" applyBorder="1" applyAlignment="1">
      <x:alignment vertical="center"/>
    </x:xf>
  </x:cellXfs>
  <x:cellStyles count="1">
    <x:cellStyle name="Normal" xfId="0"/>
  </x:cellStyles>
  <x:dxfs count="7">
    <x:dxf>
      <x:font>
        <x:color rgb="FFC00000"/>
      </x:font>
      <x:fill>
        <x:patternFill patternType="solid">
          <x:bgColor rgb="FFFCE4D6"/>
        </x:patternFill>
      </x:fill>
    </x:dxf>
    <x:dxf>
      <x:font>
        <x:b/>
        <x:color rgb="FFC00000"/>
      </x:font>
      <x:fill>
        <x:patternFill patternType="solid">
          <x:bgColor rgb="FFFCE4D6"/>
        </x:patternFill>
      </x:fill>
    </x:dxf>
    <x:dxf>
      <x:font>
        <x:color rgb="FFC00000"/>
      </x:font>
      <x:fill>
        <x:patternFill patternType="solid">
          <x:bgColor rgb="FFFCE4D6"/>
        </x:patternFill>
      </x:fill>
    </x:dxf>
    <x:dxf>
      <x:font>
        <x:b/>
        <x:color rgb="FFC00000"/>
      </x:font>
      <x:fill>
        <x:patternFill patternType="solid">
          <x:bgColor rgb="FFFCE4D6"/>
        </x:patternFill>
      </x:fill>
    </x:dxf>
    <x:dxf>
      <x:font>
        <x:b/>
        <x:color rgb="FFC00000"/>
      </x:font>
      <x:fill>
        <x:patternFill patternType="solid">
          <x:bgColor rgb="FFFCE4D6"/>
        </x:patternFill>
      </x:fill>
    </x:dxf>
    <x:dxf>
      <x:font>
        <x:b/>
        <x:color rgb="FFC00000"/>
      </x:font>
      <x:fill>
        <x:patternFill patternType="solid">
          <x:bgColor rgb="FFFCE4D6"/>
        </x:patternFill>
      </x:fill>
    </x:dxf>
    <x:dxf>
      <x:font>
        <x:b/>
        <x:color rgb="FF1E7145"/>
      </x:font>
      <x:fill>
        <x:patternFill patternType="solid">
          <x:bgColor rgb="FFE2F0D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a17df72941f40b0" /><Relationship Type="http://schemas.openxmlformats.org/officeDocument/2006/relationships/theme" Target="/xl/theme/theme1.xml" Id="Rc5f8418e14e94f38" /><Relationship Type="http://schemas.openxmlformats.org/officeDocument/2006/relationships/sharedStrings" Target="/xl/sharedStrings.xml" Id="Rca5b8484828a484d" /><Relationship Type="http://schemas.openxmlformats.org/officeDocument/2006/relationships/worksheet" Target="/xl/worksheets/sheet1.xml" Id="R8420525d6ce1416c" /><Relationship Type="http://schemas.openxmlformats.org/officeDocument/2006/relationships/worksheet" Target="/xl/worksheets/sheet2.xml" Id="Re4b15c24bcb94eb9" /><Relationship Type="http://schemas.openxmlformats.org/officeDocument/2006/relationships/worksheet" Target="/xl/worksheets/sheet3.xml" Id="Rabe0259617134544" /><Relationship Type="http://schemas.openxmlformats.org/officeDocument/2006/relationships/worksheet" Target="/xl/worksheets/sheet4.xml" Id="R0c231df322aa480a" /><Relationship Type="http://schemas.openxmlformats.org/officeDocument/2006/relationships/worksheet" Target="/xl/worksheets/sheet5.xml" Id="R0a5e1bfc36a54de7" /><Relationship Type="http://schemas.openxmlformats.org/officeDocument/2006/relationships/worksheet" Target="/xl/worksheets/sheet6.xml" Id="R051aa108f00e44b1" /><Relationship Type="http://schemas.openxmlformats.org/officeDocument/2006/relationships/worksheet" Target="/xl/worksheets/sheet7.xml" Id="Rf720f0760e78483f" /></Relationships>
</file>

<file path=xl/drawings/_rels/drawing1.xml.rels>&#65279;<?xml version="1.0" encoding="utf-8"?><Relationships xmlns="http://schemas.openxmlformats.org/package/2006/relationships"><Relationship Type="http://schemas.openxmlformats.org/officeDocument/2006/relationships/chart" Target="/xl/drawings/charts/chart1.xml" Id="R5bc1c63e77f74d2c" /><Relationship Type="http://schemas.openxmlformats.org/officeDocument/2006/relationships/chart" Target="/xl/drawings/charts/chart2.xml" Id="Rb4f852afe0934398"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Net Leverage | Base vs Downside</a:t>
            </a:r>
          </a:p>
        </c:rich>
      </c:tx>
      <c:overlay val="0"/>
    </c:title>
    <c:plotArea>
      <c:lineChart>
        <c:grouping val="standard"/>
        <c:varyColors val="0"/>
        <c:ser>
          <c:idx val="0"/>
          <c:order val="0"/>
          <c:tx>
            <c:v>Base net leverage</c:v>
          </c:tx>
          <c:marker>
            <c:symbol val="none"/>
          </c:marker>
          <c:cat>
            <c:strRef>
              <c:f>'Debt Capacity'!$I$5:$I$9</c:f>
              <c:strCache>
                <c:ptCount val="0"/>
              </c:strCache>
            </c:strRef>
          </c:cat>
          <c:val>
            <c:numRef>
              <c:f>'Debt Capacity'!$J$5:$J$9</c:f>
              <c:numCache>
                <c:formatCode>0.0x</c:formatCode>
                <c:ptCount val="0"/>
              </c:numCache>
            </c:numRef>
          </c:val>
          <c:smooth val="0"/>
        </c:ser>
        <c:ser>
          <c:idx val="1"/>
          <c:order val="1"/>
          <c:tx>
            <c:v>Downside net leverage</c:v>
          </c:tx>
          <c:marker>
            <c:symbol val="none"/>
          </c:marker>
          <c:cat>
            <c:strRef>
              <c:f>'Debt Capacity'!$I$5:$I$9</c:f>
              <c:strCache>
                <c:ptCount val="0"/>
              </c:strCache>
            </c:strRef>
          </c:cat>
          <c:val>
            <c:numRef>
              <c:f>'Debt Capacity'!$K$5:$K$9</c:f>
              <c:numCache>
                <c:formatCode>0.0x</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atAx>
      <c:valAx>
        <c:axId val="48672768"/>
        <c:scaling>
          <c:orientation val="minMax"/>
          <c:max val="5"/>
          <c:min val="2"/>
        </c:scaling>
        <c:delete val="0"/>
        <c:axPos val="l"/>
        <c:majorGridlines>
          <c:spPr>
            <a:ln xmlns:a="http://schemas.openxmlformats.org/drawingml/2006/main" w="9525">
              <a:solidFill>
                <a:srgbClr val="CCCCCC"/>
              </a:solidFill>
              <a:prstDash val="dash"/>
            </a:ln>
          </c:spPr>
        </c:majorGridlines>
        <c:numFmt formatCode="0.0x"/>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Base Case Debt Maturity Profile | FY30E</a:t>
            </a:r>
          </a:p>
        </c:rich>
      </c:tx>
      <c:overlay val="0"/>
    </c:title>
    <c:plotArea>
      <c:barChart>
        <c:barDir val="col"/>
        <c:varyColors val="0"/>
        <c:ser>
          <c:idx val="0"/>
          <c:order val="0"/>
          <c:tx>
            <c:v>Principal</c:v>
          </c:tx>
          <c:cat>
            <c:strRef>
              <c:f>'Debt Capacity'!$I$14:$I$17</c:f>
              <c:strCache>
                <c:ptCount val="0"/>
              </c:strCache>
            </c:strRef>
          </c:cat>
          <c:val>
            <c:numRef>
              <c:f>'Debt Capacity'!$J$14:$J$17</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12</xdr:row>
      <xdr:rowOff>0</xdr:rowOff>
    </xdr:from>
    <xdr:to>
      <xdr:col>17</xdr:col>
      <xdr:colOff>0</xdr:colOff>
      <xdr:row>24</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bc1c63e77f74d2c"/>
        </a:graphicData>
      </a:graphic>
    </xdr:graphicFrame>
    <xdr:clientData/>
  </xdr:twoCellAnchor>
  <xdr:twoCellAnchor>
    <xdr:from>
      <xdr:col>7</xdr:col>
      <xdr:colOff>0</xdr:colOff>
      <xdr:row>25</xdr:row>
      <xdr:rowOff>0</xdr:rowOff>
    </xdr:from>
    <xdr:to>
      <xdr:col>17</xdr:col>
      <xdr:colOff>0</xdr:colOff>
      <xdr:row>37</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4f852afe0934398"/>
        </a:graphicData>
      </a:graphic>
    </xdr:graphicFrame>
    <xdr:clientData/>
  </xdr:twoCellAnchor>
</xdr:wsDr>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aef54d44c0b042e7" /></Relationships>
</file>

<file path=xl/worksheets/sheet1.xml><?xml version="1.0" encoding="utf-8"?>
<x:worksheet xmlns:x="http://schemas.openxmlformats.org/spreadsheetml/2006/main">
  <x:sheetViews>
    <x:sheetView showGridLines="0" workbookViewId="0"/>
  </x:sheetViews>
  <x:sheetFormatPr defaultRowHeight="15"/>
  <x:cols>
    <x:col min="1" max="1" width="12" hidden="0" customWidth="1"/>
    <x:col min="2" max="2" width="12" hidden="0" customWidth="1"/>
    <x:col min="3" max="3" width="12" hidden="0" customWidth="1"/>
    <x:col min="4" max="4" width="12" hidden="0" customWidth="1"/>
    <x:col min="5" max="5" width="12" hidden="0" customWidth="1"/>
    <x:col min="6" max="6" width="12" hidden="0" customWidth="1"/>
    <x:col min="7" max="7" width="3" hidden="0" customWidth="1"/>
    <x:col min="8" max="8" width="11" hidden="0" customWidth="1"/>
    <x:col min="9" max="9" width="11" hidden="0" customWidth="1"/>
    <x:col min="10" max="10" width="11" hidden="0" customWidth="1"/>
    <x:col min="11" max="11" width="11" hidden="0" customWidth="1"/>
    <x:col min="12" max="12" width="11" hidden="0" customWidth="1"/>
    <x:col min="13" max="13" width="11" hidden="0" customWidth="1"/>
    <x:col min="14" max="14" width="11" hidden="0" customWidth="1"/>
    <x:col min="15" max="15" width="11" hidden="0" customWidth="1"/>
    <x:col min="16" max="16" width="11" hidden="0" customWidth="1"/>
    <x:col min="17" max="17" width="11" hidden="0" customWidth="1"/>
  </x:cols>
  <x:sheetData>
    <x:row r="1" ht="31" customHeight="1">
      <x:c r="A1" s="5" t="str">
        <x:v>MORRISONS | LEVERAGED FINANCE UNDERWRITING</x:v>
      </x:c>
      <x:c r="B1" s="5" t="str">
        <x:v>MORRISONS | LEVERAGED FINANCE UNDERWRITING</x:v>
      </x:c>
      <x:c r="C1" s="5" t="str">
        <x:v>MORRISONS | LEVERAGED FINANCE UNDERWRITING</x:v>
      </x:c>
      <x:c r="D1" s="5" t="str">
        <x:v>MORRISONS | LEVERAGED FINANCE UNDERWRITING</x:v>
      </x:c>
      <x:c r="E1" s="5" t="str">
        <x:v>MORRISONS | LEVERAGED FINANCE UNDERWRITING</x:v>
      </x:c>
      <x:c r="F1" s="5" t="str">
        <x:v>MORRISONS | LEVERAGED FINANCE UNDERWRITING</x:v>
      </x:c>
      <x:c r="G1" s="5" t="str">
        <x:v>MORRISONS | LEVERAGED FINANCE UNDERWRITING</x:v>
      </x:c>
      <x:c r="H1" s="5" t="str">
        <x:v>MORRISONS | LEVERAGED FINANCE UNDERWRITING</x:v>
      </x:c>
      <x:c r="I1" s="5" t="str">
        <x:v>MORRISONS | LEVERAGED FINANCE UNDERWRITING</x:v>
      </x:c>
      <x:c r="J1" s="5" t="str">
        <x:v>MORRISONS | LEVERAGED FINANCE UNDERWRITING</x:v>
      </x:c>
      <x:c r="K1" s="5" t="str">
        <x:v>MORRISONS | LEVERAGED FINANCE UNDERWRITING</x:v>
      </x:c>
      <x:c r="L1" s="5" t="str">
        <x:v>MORRISONS | LEVERAGED FINANCE UNDERWRITING</x:v>
      </x:c>
      <x:c r="M1" s="5" t="str">
        <x:v>MORRISONS | LEVERAGED FINANCE UNDERWRITING</x:v>
      </x:c>
      <x:c r="N1" s="5" t="str">
        <x:v>MORRISONS | LEVERAGED FINANCE UNDERWRITING</x:v>
      </x:c>
      <x:c r="O1" s="5" t="str">
        <x:v>MORRISONS | LEVERAGED FINANCE UNDERWRITING</x:v>
      </x:c>
      <x:c r="P1" s="5" t="str">
        <x:v>MORRISONS | LEVERAGED FINANCE UNDERWRITING</x:v>
      </x:c>
      <x:c r="Q1" s="5" t="str">
        <x:v>MORRISONS | LEVERAGED FINANCE UNDERWRITING</x:v>
      </x:c>
    </x:row>
    <x:row r="2" ht="24" customHeight="1">
      <x:c r="A2" s="8" t="str">
        <x:v>Illustrative senior secured refinancing analysis | Public information only | July 2026</x:v>
      </x:c>
      <x:c r="B2" s="8" t="str">
        <x:v>Illustrative senior secured refinancing analysis | Public information only | July 2026</x:v>
      </x:c>
      <x:c r="C2" s="8" t="str">
        <x:v>Illustrative senior secured refinancing analysis | Public information only | July 2026</x:v>
      </x:c>
      <x:c r="D2" s="8" t="str">
        <x:v>Illustrative senior secured refinancing analysis | Public information only | July 2026</x:v>
      </x:c>
      <x:c r="E2" s="8" t="str">
        <x:v>Illustrative senior secured refinancing analysis | Public information only | July 2026</x:v>
      </x:c>
      <x:c r="F2" s="8" t="str">
        <x:v>Illustrative senior secured refinancing analysis | Public information only | July 2026</x:v>
      </x:c>
      <x:c r="G2" s="8" t="str">
        <x:v>Illustrative senior secured refinancing analysis | Public information only | July 2026</x:v>
      </x:c>
      <x:c r="H2" s="8" t="str">
        <x:v>Illustrative senior secured refinancing analysis | Public information only | July 2026</x:v>
      </x:c>
      <x:c r="I2" s="8" t="str">
        <x:v>Illustrative senior secured refinancing analysis | Public information only | July 2026</x:v>
      </x:c>
      <x:c r="J2" s="8" t="str">
        <x:v>Illustrative senior secured refinancing analysis | Public information only | July 2026</x:v>
      </x:c>
      <x:c r="K2" s="8" t="str">
        <x:v>Illustrative senior secured refinancing analysis | Public information only | July 2026</x:v>
      </x:c>
      <x:c r="L2" s="8" t="str">
        <x:v>Illustrative senior secured refinancing analysis | Public information only | July 2026</x:v>
      </x:c>
      <x:c r="M2" s="8" t="str">
        <x:v>Illustrative senior secured refinancing analysis | Public information only | July 2026</x:v>
      </x:c>
      <x:c r="N2" s="8" t="str">
        <x:v>Illustrative senior secured refinancing analysis | Public information only | July 2026</x:v>
      </x:c>
      <x:c r="O2" s="8" t="str">
        <x:v>Illustrative senior secured refinancing analysis | Public information only | July 2026</x:v>
      </x:c>
      <x:c r="P2" s="8" t="str">
        <x:v>Illustrative senior secured refinancing analysis | Public information only | July 2026</x:v>
      </x:c>
      <x:c r="Q2" s="8" t="str">
        <x:v>Illustrative senior secured refinancing analysis | Public information only | July 2026</x:v>
      </x:c>
    </x:row>
    <x:row r="4">
      <x:c r="A4" s="94" t="str">
        <x:v>APPROVE WITH CONDITIONS</x:v>
      </x:c>
      <x:c r="B4" s="95" t="str">
        <x:v>APPROVE WITH CONDITIONS</x:v>
      </x:c>
      <x:c r="C4" s="95" t="str">
        <x:v>APPROVE WITH CONDITIONS</x:v>
      </x:c>
      <x:c r="D4" s="95" t="str">
        <x:v>APPROVE WITH CONDITIONS</x:v>
      </x:c>
      <x:c r="E4" s="95" t="str">
        <x:v>APPROVE WITH CONDITIONS</x:v>
      </x:c>
      <x:c r="F4" s="96" t="str">
        <x:v>APPROVE WITH CONDITIONS</x:v>
      </x:c>
      <x:c r="H4" s="129" t="str">
        <x:v>£900m senior secured term-out facility
Refinances residual 2027 secured notes and £750m 2028 senior notes</x:v>
      </x:c>
      <x:c r="I4" s="130" t="str">
        <x:v>£900m senior secured term-out facility
Refinances residual 2027 secured notes and £750m 2028 senior notes</x:v>
      </x:c>
      <x:c r="J4" s="130" t="str">
        <x:v>£900m senior secured term-out facility
Refinances residual 2027 secured notes and £750m 2028 senior notes</x:v>
      </x:c>
      <x:c r="K4" s="130" t="str">
        <x:v>£900m senior secured term-out facility
Refinances residual 2027 secured notes and £750m 2028 senior notes</x:v>
      </x:c>
      <x:c r="L4" s="130" t="str">
        <x:v>£900m senior secured term-out facility
Refinances residual 2027 secured notes and £750m 2028 senior notes</x:v>
      </x:c>
      <x:c r="M4" s="130" t="str">
        <x:v>£900m senior secured term-out facility
Refinances residual 2027 secured notes and £750m 2028 senior notes</x:v>
      </x:c>
      <x:c r="N4" s="130" t="str">
        <x:v>£900m senior secured term-out facility
Refinances residual 2027 secured notes and £750m 2028 senior notes</x:v>
      </x:c>
      <x:c r="O4" s="130" t="str">
        <x:v>£900m senior secured term-out facility
Refinances residual 2027 secured notes and £750m 2028 senior notes</x:v>
      </x:c>
      <x:c r="P4" s="130" t="str">
        <x:v>£900m senior secured term-out facility
Refinances residual 2027 secured notes and £750m 2028 senior notes</x:v>
      </x:c>
      <x:c r="Q4" s="131" t="str">
        <x:v>£900m senior secured term-out facility
Refinances residual 2027 secured notes and £750m 2028 senior notes</x:v>
      </x:c>
    </x:row>
    <x:row r="5">
      <x:c r="A5" s="97" t="str">
        <x:v>APPROVE WITH CONDITIONS</x:v>
      </x:c>
      <x:c r="B5" s="98" t="str">
        <x:v>APPROVE WITH CONDITIONS</x:v>
      </x:c>
      <x:c r="C5" s="98" t="str">
        <x:v>APPROVE WITH CONDITIONS</x:v>
      </x:c>
      <x:c r="D5" s="98" t="str">
        <x:v>APPROVE WITH CONDITIONS</x:v>
      </x:c>
      <x:c r="E5" s="98" t="str">
        <x:v>APPROVE WITH CONDITIONS</x:v>
      </x:c>
      <x:c r="F5" s="99" t="str">
        <x:v>APPROVE WITH CONDITIONS</x:v>
      </x:c>
      <x:c r="H5" s="132" t="str">
        <x:v>£900m senior secured term-out facility
Refinances residual 2027 secured notes and £750m 2028 senior notes</x:v>
      </x:c>
      <x:c r="I5" s="133" t="str">
        <x:v>£900m senior secured term-out facility
Refinances residual 2027 secured notes and £750m 2028 senior notes</x:v>
      </x:c>
      <x:c r="J5" s="133" t="str">
        <x:v>£900m senior secured term-out facility
Refinances residual 2027 secured notes and £750m 2028 senior notes</x:v>
      </x:c>
      <x:c r="K5" s="133" t="str">
        <x:v>£900m senior secured term-out facility
Refinances residual 2027 secured notes and £750m 2028 senior notes</x:v>
      </x:c>
      <x:c r="L5" s="133" t="str">
        <x:v>£900m senior secured term-out facility
Refinances residual 2027 secured notes and £750m 2028 senior notes</x:v>
      </x:c>
      <x:c r="M5" s="133" t="str">
        <x:v>£900m senior secured term-out facility
Refinances residual 2027 secured notes and £750m 2028 senior notes</x:v>
      </x:c>
      <x:c r="N5" s="133" t="str">
        <x:v>£900m senior secured term-out facility
Refinances residual 2027 secured notes and £750m 2028 senior notes</x:v>
      </x:c>
      <x:c r="O5" s="133" t="str">
        <x:v>£900m senior secured term-out facility
Refinances residual 2027 secured notes and £750m 2028 senior notes</x:v>
      </x:c>
      <x:c r="P5" s="133" t="str">
        <x:v>£900m senior secured term-out facility
Refinances residual 2027 secured notes and £750m 2028 senior notes</x:v>
      </x:c>
      <x:c r="Q5" s="134" t="str">
        <x:v>£900m senior secured term-out facility
Refinances residual 2027 secured notes and £750m 2028 senior notes</x:v>
      </x:c>
    </x:row>
    <x:row r="6">
      <x:c r="A6" s="100" t="str">
        <x:v>APPROVE WITH CONDITIONS</x:v>
      </x:c>
      <x:c r="B6" s="101" t="str">
        <x:v>APPROVE WITH CONDITIONS</x:v>
      </x:c>
      <x:c r="C6" s="101" t="str">
        <x:v>APPROVE WITH CONDITIONS</x:v>
      </x:c>
      <x:c r="D6" s="101" t="str">
        <x:v>APPROVE WITH CONDITIONS</x:v>
      </x:c>
      <x:c r="E6" s="101" t="str">
        <x:v>APPROVE WITH CONDITIONS</x:v>
      </x:c>
      <x:c r="F6" s="102" t="str">
        <x:v>APPROVE WITH CONDITIONS</x:v>
      </x:c>
      <x:c r="H6" s="135" t="str">
        <x:v>£900m senior secured term-out facility
Refinances residual 2027 secured notes and £750m 2028 senior notes</x:v>
      </x:c>
      <x:c r="I6" s="136" t="str">
        <x:v>£900m senior secured term-out facility
Refinances residual 2027 secured notes and £750m 2028 senior notes</x:v>
      </x:c>
      <x:c r="J6" s="136" t="str">
        <x:v>£900m senior secured term-out facility
Refinances residual 2027 secured notes and £750m 2028 senior notes</x:v>
      </x:c>
      <x:c r="K6" s="136" t="str">
        <x:v>£900m senior secured term-out facility
Refinances residual 2027 secured notes and £750m 2028 senior notes</x:v>
      </x:c>
      <x:c r="L6" s="136" t="str">
        <x:v>£900m senior secured term-out facility
Refinances residual 2027 secured notes and £750m 2028 senior notes</x:v>
      </x:c>
      <x:c r="M6" s="136" t="str">
        <x:v>£900m senior secured term-out facility
Refinances residual 2027 secured notes and £750m 2028 senior notes</x:v>
      </x:c>
      <x:c r="N6" s="136" t="str">
        <x:v>£900m senior secured term-out facility
Refinances residual 2027 secured notes and £750m 2028 senior notes</x:v>
      </x:c>
      <x:c r="O6" s="136" t="str">
        <x:v>£900m senior secured term-out facility
Refinances residual 2027 secured notes and £750m 2028 senior notes</x:v>
      </x:c>
      <x:c r="P6" s="136" t="str">
        <x:v>£900m senior secured term-out facility
Refinances residual 2027 secured notes and £750m 2028 senior notes</x:v>
      </x:c>
      <x:c r="Q6" s="137" t="str">
        <x:v>£900m senior secured term-out facility
Refinances residual 2027 secured notes and £750m 2028 senior notes</x:v>
      </x:c>
    </x:row>
    <x:row r="8">
      <x:c r="A8" s="141" t="str">
        <x:v>FY25A REVENUE</x:v>
      </x:c>
      <x:c r="B8" s="141" t="str">
        <x:v>FY25A REVENUE</x:v>
      </x:c>
      <x:c r="C8" s="141" t="str">
        <x:v>FY25A REVENUE</x:v>
      </x:c>
      <x:c r="D8" s="141" t="str">
        <x:v>FY25A REVENUE</x:v>
      </x:c>
      <x:c r="E8" s="141" t="str">
        <x:v>FY25A EBITDA</x:v>
      </x:c>
      <x:c r="F8" s="141" t="str">
        <x:v>FY25A EBITDA</x:v>
      </x:c>
      <x:c r="G8" s="141" t="str">
        <x:v>FY25A EBITDA</x:v>
      </x:c>
      <x:c r="H8" s="141" t="str">
        <x:v>FY25A EBITDA</x:v>
      </x:c>
      <x:c r="I8" s="141" t="str">
        <x:v>OPENING GROSS DEBT</x:v>
      </x:c>
      <x:c r="J8" s="141" t="str">
        <x:v>OPENING GROSS DEBT</x:v>
      </x:c>
      <x:c r="K8" s="141" t="str">
        <x:v>OPENING GROSS DEBT</x:v>
      </x:c>
      <x:c r="L8" s="141" t="str">
        <x:v>OPENING GROSS DEBT</x:v>
      </x:c>
      <x:c r="M8" s="141" t="str">
        <x:v>DOWNSIDE MIN. COVER</x:v>
      </x:c>
      <x:c r="N8" s="141" t="str">
        <x:v>DOWNSIDE MIN. COVER</x:v>
      </x:c>
      <x:c r="O8" s="141" t="str">
        <x:v>DOWNSIDE MIN. COVER</x:v>
      </x:c>
      <x:c r="P8" s="141" t="str">
        <x:v>DOWNSIDE MIN. COVER</x:v>
      </x:c>
      <x:c r="Q8" s="141" t="str">
        <x:v>DOWNSIDE MIN. COVER</x:v>
      </x:c>
    </x:row>
    <x:row r="9">
      <x:c r="A9" s="141" t="str">
        <x:v>FY25A REVENUE</x:v>
      </x:c>
      <x:c r="B9" s="141" t="str">
        <x:v>FY25A REVENUE</x:v>
      </x:c>
      <x:c r="C9" s="141" t="str">
        <x:v>FY25A REVENUE</x:v>
      </x:c>
      <x:c r="D9" s="141" t="str">
        <x:v>FY25A REVENUE</x:v>
      </x:c>
      <x:c r="E9" s="141" t="str">
        <x:v>FY25A EBITDA</x:v>
      </x:c>
      <x:c r="F9" s="141" t="str">
        <x:v>FY25A EBITDA</x:v>
      </x:c>
      <x:c r="G9" s="141" t="str">
        <x:v>FY25A EBITDA</x:v>
      </x:c>
      <x:c r="H9" s="141" t="str">
        <x:v>FY25A EBITDA</x:v>
      </x:c>
      <x:c r="I9" s="141" t="str">
        <x:v>OPENING GROSS DEBT</x:v>
      </x:c>
      <x:c r="J9" s="141" t="str">
        <x:v>OPENING GROSS DEBT</x:v>
      </x:c>
      <x:c r="K9" s="141" t="str">
        <x:v>OPENING GROSS DEBT</x:v>
      </x:c>
      <x:c r="L9" s="141" t="str">
        <x:v>OPENING GROSS DEBT</x:v>
      </x:c>
      <x:c r="M9" s="141" t="str">
        <x:v>DOWNSIDE MIN. COVER</x:v>
      </x:c>
      <x:c r="N9" s="141" t="str">
        <x:v>DOWNSIDE MIN. COVER</x:v>
      </x:c>
      <x:c r="O9" s="141" t="str">
        <x:v>DOWNSIDE MIN. COVER</x:v>
      </x:c>
      <x:c r="P9" s="141" t="str">
        <x:v>DOWNSIDE MIN. COVER</x:v>
      </x:c>
      <x:c r="Q9" s="141" t="str">
        <x:v>DOWNSIDE MIN. COVER</x:v>
      </x:c>
    </x:row>
    <x:row r="10">
      <x:c r="A10" s="161" t="n">
        <x:f>'Historical'!D6</x:f>
        <x:v>15800</x:v>
      </x:c>
      <x:c r="B10" s="162"/>
      <x:c r="C10" s="162"/>
      <x:c r="D10" s="163"/>
      <x:c r="E10" s="161" t="n">
        <x:f>'Historical'!D8</x:f>
        <x:v>835</x:v>
      </x:c>
      <x:c r="F10" s="162"/>
      <x:c r="G10" s="162"/>
      <x:c r="H10" s="163"/>
      <x:c r="I10" s="161" t="n">
        <x:f>'Debt Capacity'!B10</x:f>
        <x:v>3480</x:v>
      </x:c>
      <x:c r="J10" s="162"/>
      <x:c r="K10" s="162"/>
      <x:c r="L10" s="163"/>
      <x:c r="M10" s="167" t="n">
        <x:f>MIN('Downside'!C39:G39)</x:f>
        <x:v>1.9335106382978724</x:v>
      </x:c>
      <x:c r="N10" s="168"/>
      <x:c r="O10" s="168"/>
      <x:c r="P10" s="168"/>
      <x:c r="Q10" s="169"/>
    </x:row>
    <x:row r="11">
      <x:c r="A11" s="164"/>
      <x:c r="B11" s="165"/>
      <x:c r="C11" s="165"/>
      <x:c r="D11" s="166"/>
      <x:c r="E11" s="164"/>
      <x:c r="F11" s="165"/>
      <x:c r="G11" s="165"/>
      <x:c r="H11" s="166"/>
      <x:c r="I11" s="164"/>
      <x:c r="J11" s="165"/>
      <x:c r="K11" s="165"/>
      <x:c r="L11" s="166"/>
      <x:c r="M11" s="170"/>
      <x:c r="N11" s="171"/>
      <x:c r="O11" s="171"/>
      <x:c r="P11" s="171"/>
      <x:c r="Q11" s="172"/>
    </x:row>
    <x:row r="13">
      <x:c r="A13" s="11" t="str">
        <x:v>Credit Rationale</x:v>
      </x:c>
      <x:c r="B13" s="11" t="str">
        <x:v>Credit Rationale</x:v>
      </x:c>
      <x:c r="C13" s="11" t="str">
        <x:v>Credit Rationale</x:v>
      </x:c>
      <x:c r="D13" s="11" t="str">
        <x:v>Credit Rationale</x:v>
      </x:c>
      <x:c r="E13" s="11" t="str">
        <x:v>Credit Rationale</x:v>
      </x:c>
      <x:c r="F13" s="11" t="str">
        <x:v>Credit Rationale</x:v>
      </x:c>
    </x:row>
    <x:row r="14">
      <x:c r="A14" s="192"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B14" s="193"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C14" s="193"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D14" s="193"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E14" s="193"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F14" s="194"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row>
    <x:row r="15">
      <x:c r="A15" s="195"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B15" s="1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C15" s="1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D15" s="1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E15" s="1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F15" s="197"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row>
    <x:row r="16">
      <x:c r="A16" s="195"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B16" s="1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C16" s="1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D16" s="1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E16" s="1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F16" s="197"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row>
    <x:row r="17">
      <x:c r="A17" s="195"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B17" s="1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C17" s="1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D17" s="1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E17" s="1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F17" s="197"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row>
    <x:row r="18">
      <x:c r="A18" s="195"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B18" s="1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C18" s="1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D18" s="1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E18" s="1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F18" s="197"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row>
    <x:row r="19">
      <x:c r="A19" s="195"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B19" s="1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C19" s="1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D19" s="1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E19" s="1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F19" s="197"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row>
    <x:row r="20">
      <x:c r="A20" s="195"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B20" s="1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C20" s="1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D20" s="1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E20" s="1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F20" s="197"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row>
    <x:row r="21">
      <x:c r="A21" s="195"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B21" s="1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C21" s="1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D21" s="1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E21" s="1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F21" s="197"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row>
    <x:row r="22">
      <x:c r="A22" s="195"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B22" s="1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C22" s="1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D22" s="1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E22" s="1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F22" s="197"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row>
    <x:row r="23">
      <x:c r="A23" s="195"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B23" s="1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C23" s="1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D23" s="1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E23" s="1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F23" s="197"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row>
    <x:row r="24">
      <x:c r="A24" s="198"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B24" s="199"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C24" s="199"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D24" s="199"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E24" s="199"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F24" s="200"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row>
    <x:row r="26">
      <x:c r="A26" s="11" t="str">
        <x:v>Required Protections</x:v>
      </x:c>
      <x:c r="B26" s="11" t="str">
        <x:v>Required Protections</x:v>
      </x:c>
      <x:c r="C26" s="11" t="str">
        <x:v>Required Protections</x:v>
      </x:c>
      <x:c r="D26" s="11" t="str">
        <x:v>Required Protections</x:v>
      </x:c>
      <x:c r="E26" s="11" t="str">
        <x:v>Required Protections</x:v>
      </x:c>
      <x:c r="F26" s="11" t="str">
        <x:v>Required Protections</x:v>
      </x:c>
    </x:row>
    <x:row r="27">
      <x:c r="A27" s="220" t="str">
        <x:v>• 1% annual mandatory amortisation
• 50% excess cash flow sweep until net leverage &lt;3.25x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Key judgement: the maturity extension is credit-positive, but acceptable only if cash leakage is tightly controlled and deleveraging is contractually prioritised.</x:v>
      </x:c>
      <x:c r="B27" s="221" t="str">
        <x:v>• 1% annual mandatory amortisation
• 50% excess cash flow sweep until net leverage &lt;3.25x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Key judgement: the maturity extension is credit-positive, but acceptable only if cash leakage is tightly controlled and deleveraging is contractually prioritised.</x:v>
      </x:c>
      <x:c r="C27" s="221" t="str">
        <x:v>• 1% annual mandatory amortisation
• 50% excess cash flow sweep until net leverage &lt;3.25x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Key judgement: the maturity extension is credit-positive, but acceptable only if cash leakage is tightly controlled and deleveraging is contractually prioritised.</x:v>
      </x:c>
      <x:c r="D27" s="221" t="str">
        <x:v>• 1% annual mandatory amortisation
• 50% excess cash flow sweep until net leverage &lt;3.25x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Key judgement: the maturity extension is credit-positive, but acceptable only if cash leakage is tightly controlled and deleveraging is contractually prioritised.</x:v>
      </x:c>
      <x:c r="E27" s="221" t="str">
        <x:v>• 1% annual mandatory amortisation
• 50% excess cash flow sweep until net leverage &lt;3.25x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Key judgement: the maturity extension is credit-positive, but acceptable only if cash leakage is tightly controlled and deleveraging is contractually prioritised.</x:v>
      </x:c>
      <x:c r="F27" s="222" t="str">
        <x:v>• 1% annual mandatory amortisation
• 50% excess cash flow sweep until net leverage &lt;3.25x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Key judgement: the maturity extension is credit-positive, but acceptable only if cash leakage is tightly controlled and deleveraging is contractually prioritised.</x:v>
      </x:c>
    </x:row>
    <x:row r="28">
      <x:c r="A28" s="223" t="str">
        <x:v>• 1% annual mandatory amortisation
• 50% excess cash flow sweep until net leverage &lt;3.25x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Key judgement: the maturity extension is credit-positive, but acceptable only if cash leakage is tightly controlled and deleveraging is contractually prioritised.</x:v>
      </x:c>
      <x:c r="B28" s="224" t="str">
        <x:v>• 1% annual mandatory amortisation
• 50% excess cash flow sweep until net leverage &lt;3.25x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Key judgement: the maturity extension is credit-positive, but acceptable only if cash leakage is tightly controlled and deleveraging is contractually prioritised.</x:v>
      </x:c>
      <x:c r="C28" s="224" t="str">
        <x:v>• 1% annual mandatory amortisation
• 50% excess cash flow sweep until net leverage &lt;3.25x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Key judgement: the maturity extension is credit-positive, but acceptable only if cash leakage is tightly controlled and deleveraging is contractually prioritised.</x:v>
      </x:c>
      <x:c r="D28" s="224" t="str">
        <x:v>• 1% annual mandatory amortisation
• 50% excess cash flow sweep until net leverage &lt;3.25x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Key judgement: the maturity extension is credit-positive, but acceptable only if cash leakage is tightly controlled and deleveraging is contractually prioritised.</x:v>
      </x:c>
      <x:c r="E28" s="224" t="str">
        <x:v>• 1% annual mandatory amortisation
• 50% excess cash flow sweep until net leverage &lt;3.25x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Key judgement: the maturity extension is credit-positive, but acceptable only if cash leakage is tightly controlled and deleveraging is contractually prioritised.</x:v>
      </x:c>
      <x:c r="F28" s="225" t="str">
        <x:v>• 1% annual mandatory amortisation
• 50% excess cash flow sweep until net leverage &lt;3.25x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Key judgement: the maturity extension is credit-positive, but acceptable only if cash leakage is tightly controlled and deleveraging is contractually prioritised.</x:v>
      </x:c>
    </x:row>
    <x:row r="29">
      <x:c r="A29" s="223" t="str">
        <x:v>• 1% annual mandatory amortisation
• 50% excess cash flow sweep until net leverage &lt;3.25x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Key judgement: the maturity extension is credit-positive, but acceptable only if cash leakage is tightly controlled and deleveraging is contractually prioritised.</x:v>
      </x:c>
      <x:c r="B29" s="224" t="str">
        <x:v>• 1% annual mandatory amortisation
• 50% excess cash flow sweep until net leverage &lt;3.25x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Key judgement: the maturity extension is credit-positive, but acceptable only if cash leakage is tightly controlled and deleveraging is contractually prioritised.</x:v>
      </x:c>
      <x:c r="C29" s="224" t="str">
        <x:v>• 1% annual mandatory amortisation
• 50% excess cash flow sweep until net leverage &lt;3.25x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Key judgement: the maturity extension is credit-positive, but acceptable only if cash leakage is tightly controlled and deleveraging is contractually prioritised.</x:v>
      </x:c>
      <x:c r="D29" s="224" t="str">
        <x:v>• 1% annual mandatory amortisation
• 50% excess cash flow sweep until net leverage &lt;3.25x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Key judgement: the maturity extension is credit-positive, but acceptable only if cash leakage is tightly controlled and deleveraging is contractually prioritised.</x:v>
      </x:c>
      <x:c r="E29" s="224" t="str">
        <x:v>• 1% annual mandatory amortisation
• 50% excess cash flow sweep until net leverage &lt;3.25x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Key judgement: the maturity extension is credit-positive, but acceptable only if cash leakage is tightly controlled and deleveraging is contractually prioritised.</x:v>
      </x:c>
      <x:c r="F29" s="225" t="str">
        <x:v>• 1% annual mandatory amortisation
• 50% excess cash flow sweep until net leverage &lt;3.25x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Key judgement: the maturity extension is credit-positive, but acceptable only if cash leakage is tightly controlled and deleveraging is contractually prioritised.</x:v>
      </x:c>
    </x:row>
    <x:row r="30">
      <x:c r="A30" s="223" t="str">
        <x:v>• 1% annual mandatory amortisation
• 50% excess cash flow sweep until net leverage &lt;3.25x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Key judgement: the maturity extension is credit-positive, but acceptable only if cash leakage is tightly controlled and deleveraging is contractually prioritised.</x:v>
      </x:c>
      <x:c r="B30" s="224" t="str">
        <x:v>• 1% annual mandatory amortisation
• 50% excess cash flow sweep until net leverage &lt;3.25x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Key judgement: the maturity extension is credit-positive, but acceptable only if cash leakage is tightly controlled and deleveraging is contractually prioritised.</x:v>
      </x:c>
      <x:c r="C30" s="224" t="str">
        <x:v>• 1% annual mandatory amortisation
• 50% excess cash flow sweep until net leverage &lt;3.25x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Key judgement: the maturity extension is credit-positive, but acceptable only if cash leakage is tightly controlled and deleveraging is contractually prioritised.</x:v>
      </x:c>
      <x:c r="D30" s="224" t="str">
        <x:v>• 1% annual mandatory amortisation
• 50% excess cash flow sweep until net leverage &lt;3.25x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Key judgement: the maturity extension is credit-positive, but acceptable only if cash leakage is tightly controlled and deleveraging is contractually prioritised.</x:v>
      </x:c>
      <x:c r="E30" s="224" t="str">
        <x:v>• 1% annual mandatory amortisation
• 50% excess cash flow sweep until net leverage &lt;3.25x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Key judgement: the maturity extension is credit-positive, but acceptable only if cash leakage is tightly controlled and deleveraging is contractually prioritised.</x:v>
      </x:c>
      <x:c r="F30" s="225" t="str">
        <x:v>• 1% annual mandatory amortisation
• 50% excess cash flow sweep until net leverage &lt;3.25x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Key judgement: the maturity extension is credit-positive, but acceptable only if cash leakage is tightly controlled and deleveraging is contractually prioritised.</x:v>
      </x:c>
    </x:row>
    <x:row r="31">
      <x:c r="A31" s="223" t="str">
        <x:v>• 1% annual mandatory amortisation
• 50% excess cash flow sweep until net leverage &lt;3.25x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Key judgement: the maturity extension is credit-positive, but acceptable only if cash leakage is tightly controlled and deleveraging is contractually prioritised.</x:v>
      </x:c>
      <x:c r="B31" s="224" t="str">
        <x:v>• 1% annual mandatory amortisation
• 50% excess cash flow sweep until net leverage &lt;3.25x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Key judgement: the maturity extension is credit-positive, but acceptable only if cash leakage is tightly controlled and deleveraging is contractually prioritised.</x:v>
      </x:c>
      <x:c r="C31" s="224" t="str">
        <x:v>• 1% annual mandatory amortisation
• 50% excess cash flow sweep until net leverage &lt;3.25x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Key judgement: the maturity extension is credit-positive, but acceptable only if cash leakage is tightly controlled and deleveraging is contractually prioritised.</x:v>
      </x:c>
      <x:c r="D31" s="224" t="str">
        <x:v>• 1% annual mandatory amortisation
• 50% excess cash flow sweep until net leverage &lt;3.25x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Key judgement: the maturity extension is credit-positive, but acceptable only if cash leakage is tightly controlled and deleveraging is contractually prioritised.</x:v>
      </x:c>
      <x:c r="E31" s="224" t="str">
        <x:v>• 1% annual mandatory amortisation
• 50% excess cash flow sweep until net leverage &lt;3.25x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Key judgement: the maturity extension is credit-positive, but acceptable only if cash leakage is tightly controlled and deleveraging is contractually prioritised.</x:v>
      </x:c>
      <x:c r="F31" s="225" t="str">
        <x:v>• 1% annual mandatory amortisation
• 50% excess cash flow sweep until net leverage &lt;3.25x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Key judgement: the maturity extension is credit-positive, but acceptable only if cash leakage is tightly controlled and deleveraging is contractually prioritised.</x:v>
      </x:c>
    </x:row>
    <x:row r="32">
      <x:c r="A32" s="223" t="str">
        <x:v>• 1% annual mandatory amortisation
• 50% excess cash flow sweep until net leverage &lt;3.25x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Key judgement: the maturity extension is credit-positive, but acceptable only if cash leakage is tightly controlled and deleveraging is contractually prioritised.</x:v>
      </x:c>
      <x:c r="B32" s="224" t="str">
        <x:v>• 1% annual mandatory amortisation
• 50% excess cash flow sweep until net leverage &lt;3.25x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Key judgement: the maturity extension is credit-positive, but acceptable only if cash leakage is tightly controlled and deleveraging is contractually prioritised.</x:v>
      </x:c>
      <x:c r="C32" s="224" t="str">
        <x:v>• 1% annual mandatory amortisation
• 50% excess cash flow sweep until net leverage &lt;3.25x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Key judgement: the maturity extension is credit-positive, but acceptable only if cash leakage is tightly controlled and deleveraging is contractually prioritised.</x:v>
      </x:c>
      <x:c r="D32" s="224" t="str">
        <x:v>• 1% annual mandatory amortisation
• 50% excess cash flow sweep until net leverage &lt;3.25x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Key judgement: the maturity extension is credit-positive, but acceptable only if cash leakage is tightly controlled and deleveraging is contractually prioritised.</x:v>
      </x:c>
      <x:c r="E32" s="224" t="str">
        <x:v>• 1% annual mandatory amortisation
• 50% excess cash flow sweep until net leverage &lt;3.25x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Key judgement: the maturity extension is credit-positive, but acceptable only if cash leakage is tightly controlled and deleveraging is contractually prioritised.</x:v>
      </x:c>
      <x:c r="F32" s="225" t="str">
        <x:v>• 1% annual mandatory amortisation
• 50% excess cash flow sweep until net leverage &lt;3.25x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Key judgement: the maturity extension is credit-positive, but acceptable only if cash leakage is tightly controlled and deleveraging is contractually prioritised.</x:v>
      </x:c>
    </x:row>
    <x:row r="33">
      <x:c r="A33" s="223" t="str">
        <x:v>• 1% annual mandatory amortisation
• 50% excess cash flow sweep until net leverage &lt;3.25x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Key judgement: the maturity extension is credit-positive, but acceptable only if cash leakage is tightly controlled and deleveraging is contractually prioritised.</x:v>
      </x:c>
      <x:c r="B33" s="224" t="str">
        <x:v>• 1% annual mandatory amortisation
• 50% excess cash flow sweep until net leverage &lt;3.25x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Key judgement: the maturity extension is credit-positive, but acceptable only if cash leakage is tightly controlled and deleveraging is contractually prioritised.</x:v>
      </x:c>
      <x:c r="C33" s="224" t="str">
        <x:v>• 1% annual mandatory amortisation
• 50% excess cash flow sweep until net leverage &lt;3.25x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Key judgement: the maturity extension is credit-positive, but acceptable only if cash leakage is tightly controlled and deleveraging is contractually prioritised.</x:v>
      </x:c>
      <x:c r="D33" s="224" t="str">
        <x:v>• 1% annual mandatory amortisation
• 50% excess cash flow sweep until net leverage &lt;3.25x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Key judgement: the maturity extension is credit-positive, but acceptable only if cash leakage is tightly controlled and deleveraging is contractually prioritised.</x:v>
      </x:c>
      <x:c r="E33" s="224" t="str">
        <x:v>• 1% annual mandatory amortisation
• 50% excess cash flow sweep until net leverage &lt;3.25x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Key judgement: the maturity extension is credit-positive, but acceptable only if cash leakage is tightly controlled and deleveraging is contractually prioritised.</x:v>
      </x:c>
      <x:c r="F33" s="225" t="str">
        <x:v>• 1% annual mandatory amortisation
• 50% excess cash flow sweep until net leverage &lt;3.25x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Key judgement: the maturity extension is credit-positive, but acceptable only if cash leakage is tightly controlled and deleveraging is contractually prioritised.</x:v>
      </x:c>
    </x:row>
    <x:row r="34">
      <x:c r="A34" s="223" t="str">
        <x:v>• 1% annual mandatory amortisation
• 50% excess cash flow sweep until net leverage &lt;3.25x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Key judgement: the maturity extension is credit-positive, but acceptable only if cash leakage is tightly controlled and deleveraging is contractually prioritised.</x:v>
      </x:c>
      <x:c r="B34" s="224" t="str">
        <x:v>• 1% annual mandatory amortisation
• 50% excess cash flow sweep until net leverage &lt;3.25x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Key judgement: the maturity extension is credit-positive, but acceptable only if cash leakage is tightly controlled and deleveraging is contractually prioritised.</x:v>
      </x:c>
      <x:c r="C34" s="224" t="str">
        <x:v>• 1% annual mandatory amortisation
• 50% excess cash flow sweep until net leverage &lt;3.25x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Key judgement: the maturity extension is credit-positive, but acceptable only if cash leakage is tightly controlled and deleveraging is contractually prioritised.</x:v>
      </x:c>
      <x:c r="D34" s="224" t="str">
        <x:v>• 1% annual mandatory amortisation
• 50% excess cash flow sweep until net leverage &lt;3.25x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Key judgement: the maturity extension is credit-positive, but acceptable only if cash leakage is tightly controlled and deleveraging is contractually prioritised.</x:v>
      </x:c>
      <x:c r="E34" s="224" t="str">
        <x:v>• 1% annual mandatory amortisation
• 50% excess cash flow sweep until net leverage &lt;3.25x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Key judgement: the maturity extension is credit-positive, but acceptable only if cash leakage is tightly controlled and deleveraging is contractually prioritised.</x:v>
      </x:c>
      <x:c r="F34" s="225" t="str">
        <x:v>• 1% annual mandatory amortisation
• 50% excess cash flow sweep until net leverage &lt;3.25x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Key judgement: the maturity extension is credit-positive, but acceptable only if cash leakage is tightly controlled and deleveraging is contractually prioritised.</x:v>
      </x:c>
    </x:row>
    <x:row r="35">
      <x:c r="A35" s="223" t="str">
        <x:v>• 1% annual mandatory amortisation
• 50% excess cash flow sweep until net leverage &lt;3.25x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Key judgement: the maturity extension is credit-positive, but acceptable only if cash leakage is tightly controlled and deleveraging is contractually prioritised.</x:v>
      </x:c>
      <x:c r="B35" s="224" t="str">
        <x:v>• 1% annual mandatory amortisation
• 50% excess cash flow sweep until net leverage &lt;3.25x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Key judgement: the maturity extension is credit-positive, but acceptable only if cash leakage is tightly controlled and deleveraging is contractually prioritised.</x:v>
      </x:c>
      <x:c r="C35" s="224" t="str">
        <x:v>• 1% annual mandatory amortisation
• 50% excess cash flow sweep until net leverage &lt;3.25x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Key judgement: the maturity extension is credit-positive, but acceptable only if cash leakage is tightly controlled and deleveraging is contractually prioritised.</x:v>
      </x:c>
      <x:c r="D35" s="224" t="str">
        <x:v>• 1% annual mandatory amortisation
• 50% excess cash flow sweep until net leverage &lt;3.25x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Key judgement: the maturity extension is credit-positive, but acceptable only if cash leakage is tightly controlled and deleveraging is contractually prioritised.</x:v>
      </x:c>
      <x:c r="E35" s="224" t="str">
        <x:v>• 1% annual mandatory amortisation
• 50% excess cash flow sweep until net leverage &lt;3.25x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Key judgement: the maturity extension is credit-positive, but acceptable only if cash leakage is tightly controlled and deleveraging is contractually prioritised.</x:v>
      </x:c>
      <x:c r="F35" s="225" t="str">
        <x:v>• 1% annual mandatory amortisation
• 50% excess cash flow sweep until net leverage &lt;3.25x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Key judgement: the maturity extension is credit-positive, but acceptable only if cash leakage is tightly controlled and deleveraging is contractually prioritised.</x:v>
      </x:c>
    </x:row>
    <x:row r="36">
      <x:c r="A36" s="223" t="str">
        <x:v>• 1% annual mandatory amortisation
• 50% excess cash flow sweep until net leverage &lt;3.25x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Key judgement: the maturity extension is credit-positive, but acceptable only if cash leakage is tightly controlled and deleveraging is contractually prioritised.</x:v>
      </x:c>
      <x:c r="B36" s="224" t="str">
        <x:v>• 1% annual mandatory amortisation
• 50% excess cash flow sweep until net leverage &lt;3.25x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Key judgement: the maturity extension is credit-positive, but acceptable only if cash leakage is tightly controlled and deleveraging is contractually prioritised.</x:v>
      </x:c>
      <x:c r="C36" s="224" t="str">
        <x:v>• 1% annual mandatory amortisation
• 50% excess cash flow sweep until net leverage &lt;3.25x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Key judgement: the maturity extension is credit-positive, but acceptable only if cash leakage is tightly controlled and deleveraging is contractually prioritised.</x:v>
      </x:c>
      <x:c r="D36" s="224" t="str">
        <x:v>• 1% annual mandatory amortisation
• 50% excess cash flow sweep until net leverage &lt;3.25x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Key judgement: the maturity extension is credit-positive, but acceptable only if cash leakage is tightly controlled and deleveraging is contractually prioritised.</x:v>
      </x:c>
      <x:c r="E36" s="224" t="str">
        <x:v>• 1% annual mandatory amortisation
• 50% excess cash flow sweep until net leverage &lt;3.25x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Key judgement: the maturity extension is credit-positive, but acceptable only if cash leakage is tightly controlled and deleveraging is contractually prioritised.</x:v>
      </x:c>
      <x:c r="F36" s="225" t="str">
        <x:v>• 1% annual mandatory amortisation
• 50% excess cash flow sweep until net leverage &lt;3.25x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Key judgement: the maturity extension is credit-positive, but acceptable only if cash leakage is tightly controlled and deleveraging is contractually prioritised.</x:v>
      </x:c>
    </x:row>
    <x:row r="37">
      <x:c r="A37" s="226" t="str">
        <x:v>• 1% annual mandatory amortisation
• 50% excess cash flow sweep until net leverage &lt;3.25x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Key judgement: the maturity extension is credit-positive, but acceptable only if cash leakage is tightly controlled and deleveraging is contractually prioritised.</x:v>
      </x:c>
      <x:c r="B37" s="227" t="str">
        <x:v>• 1% annual mandatory amortisation
• 50% excess cash flow sweep until net leverage &lt;3.25x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Key judgement: the maturity extension is credit-positive, but acceptable only if cash leakage is tightly controlled and deleveraging is contractually prioritised.</x:v>
      </x:c>
      <x:c r="C37" s="227" t="str">
        <x:v>• 1% annual mandatory amortisation
• 50% excess cash flow sweep until net leverage &lt;3.25x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Key judgement: the maturity extension is credit-positive, but acceptable only if cash leakage is tightly controlled and deleveraging is contractually prioritised.</x:v>
      </x:c>
      <x:c r="D37" s="227" t="str">
        <x:v>• 1% annual mandatory amortisation
• 50% excess cash flow sweep until net leverage &lt;3.25x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Key judgement: the maturity extension is credit-positive, but acceptable only if cash leakage is tightly controlled and deleveraging is contractually prioritised.</x:v>
      </x:c>
      <x:c r="E37" s="227" t="str">
        <x:v>• 1% annual mandatory amortisation
• 50% excess cash flow sweep until net leverage &lt;3.25x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Key judgement: the maturity extension is credit-positive, but acceptable only if cash leakage is tightly controlled and deleveraging is contractually prioritised.</x:v>
      </x:c>
      <x:c r="F37" s="228" t="str">
        <x:v>• 1% annual mandatory amortisation
• 50% excess cash flow sweep until net leverage &lt;3.25x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Key judgement: the maturity extension is credit-positive, but acceptable only if cash leakage is tightly controlled and deleveraging is contractually prioritised.</x:v>
      </x:c>
    </x:row>
    <x:row r="39">
      <x:c r="A39" s="232" t="str">
        <x:v>Disclaimer: independent educational analysis based solely on public information. Not investment advice, a credit commitment, an offer to lend, or Morrisons guidance. Forecasts and proposed terms are illustrative assumptions.</x:v>
      </x:c>
      <x:c r="B39" s="232" t="str">
        <x:v>Disclaimer: independent educational analysis based solely on public information. Not investment advice, a credit commitment, an offer to lend, or Morrisons guidance. Forecasts and proposed terms are illustrative assumptions.</x:v>
      </x:c>
      <x:c r="C39" s="232" t="str">
        <x:v>Disclaimer: independent educational analysis based solely on public information. Not investment advice, a credit commitment, an offer to lend, or Morrisons guidance. Forecasts and proposed terms are illustrative assumptions.</x:v>
      </x:c>
      <x:c r="D39" s="232" t="str">
        <x:v>Disclaimer: independent educational analysis based solely on public information. Not investment advice, a credit commitment, an offer to lend, or Morrisons guidance. Forecasts and proposed terms are illustrative assumptions.</x:v>
      </x:c>
      <x:c r="E39" s="232" t="str">
        <x:v>Disclaimer: independent educational analysis based solely on public information. Not investment advice, a credit commitment, an offer to lend, or Morrisons guidance. Forecasts and proposed terms are illustrative assumptions.</x:v>
      </x:c>
      <x:c r="F39" s="232" t="str">
        <x:v>Disclaimer: independent educational analysis based solely on public information. Not investment advice, a credit commitment, an offer to lend, or Morrisons guidance. Forecasts and proposed terms are illustrative assumptions.</x:v>
      </x:c>
      <x:c r="G39" s="232" t="str">
        <x:v>Disclaimer: independent educational analysis based solely on public information. Not investment advice, a credit commitment, an offer to lend, or Morrisons guidance. Forecasts and proposed terms are illustrative assumptions.</x:v>
      </x:c>
      <x:c r="H39" s="232" t="str">
        <x:v>Disclaimer: independent educational analysis based solely on public information. Not investment advice, a credit commitment, an offer to lend, or Morrisons guidance. Forecasts and proposed terms are illustrative assumptions.</x:v>
      </x:c>
      <x:c r="I39" s="232" t="str">
        <x:v>Disclaimer: independent educational analysis based solely on public information. Not investment advice, a credit commitment, an offer to lend, or Morrisons guidance. Forecasts and proposed terms are illustrative assumptions.</x:v>
      </x:c>
      <x:c r="J39" s="232" t="str">
        <x:v>Disclaimer: independent educational analysis based solely on public information. Not investment advice, a credit commitment, an offer to lend, or Morrisons guidance. Forecasts and proposed terms are illustrative assumptions.</x:v>
      </x:c>
      <x:c r="K39" s="232" t="str">
        <x:v>Disclaimer: independent educational analysis based solely on public information. Not investment advice, a credit commitment, an offer to lend, or Morrisons guidance. Forecasts and proposed terms are illustrative assumptions.</x:v>
      </x:c>
      <x:c r="L39" s="232" t="str">
        <x:v>Disclaimer: independent educational analysis based solely on public information. Not investment advice, a credit commitment, an offer to lend, or Morrisons guidance. Forecasts and proposed terms are illustrative assumptions.</x:v>
      </x:c>
      <x:c r="M39" s="232" t="str">
        <x:v>Disclaimer: independent educational analysis based solely on public information. Not investment advice, a credit commitment, an offer to lend, or Morrisons guidance. Forecasts and proposed terms are illustrative assumptions.</x:v>
      </x:c>
      <x:c r="N39" s="232" t="str">
        <x:v>Disclaimer: independent educational analysis based solely on public information. Not investment advice, a credit commitment, an offer to lend, or Morrisons guidance. Forecasts and proposed terms are illustrative assumptions.</x:v>
      </x:c>
      <x:c r="O39" s="232" t="str">
        <x:v>Disclaimer: independent educational analysis based solely on public information. Not investment advice, a credit commitment, an offer to lend, or Morrisons guidance. Forecasts and proposed terms are illustrative assumptions.</x:v>
      </x:c>
      <x:c r="P39" s="232" t="str">
        <x:v>Disclaimer: independent educational analysis based solely on public information. Not investment advice, a credit commitment, an offer to lend, or Morrisons guidance. Forecasts and proposed terms are illustrative assumptions.</x:v>
      </x:c>
      <x:c r="Q39" s="232" t="str">
        <x:v>Disclaimer: independent educational analysis based solely on public information. Not investment advice, a credit commitment, an offer to lend, or Morrisons guidance. Forecasts and proposed terms are illustrative assumptions.</x:v>
      </x:c>
    </x:row>
    <x:row r="40">
      <x:c r="A40" s="232" t="str">
        <x:v>Disclaimer: independent educational analysis based solely on public information. Not investment advice, a credit commitment, an offer to lend, or Morrisons guidance. Forecasts and proposed terms are illustrative assumptions.</x:v>
      </x:c>
      <x:c r="B40" s="232" t="str">
        <x:v>Disclaimer: independent educational analysis based solely on public information. Not investment advice, a credit commitment, an offer to lend, or Morrisons guidance. Forecasts and proposed terms are illustrative assumptions.</x:v>
      </x:c>
      <x:c r="C40" s="232" t="str">
        <x:v>Disclaimer: independent educational analysis based solely on public information. Not investment advice, a credit commitment, an offer to lend, or Morrisons guidance. Forecasts and proposed terms are illustrative assumptions.</x:v>
      </x:c>
      <x:c r="D40" s="232" t="str">
        <x:v>Disclaimer: independent educational analysis based solely on public information. Not investment advice, a credit commitment, an offer to lend, or Morrisons guidance. Forecasts and proposed terms are illustrative assumptions.</x:v>
      </x:c>
      <x:c r="E40" s="232" t="str">
        <x:v>Disclaimer: independent educational analysis based solely on public information. Not investment advice, a credit commitment, an offer to lend, or Morrisons guidance. Forecasts and proposed terms are illustrative assumptions.</x:v>
      </x:c>
      <x:c r="F40" s="232" t="str">
        <x:v>Disclaimer: independent educational analysis based solely on public information. Not investment advice, a credit commitment, an offer to lend, or Morrisons guidance. Forecasts and proposed terms are illustrative assumptions.</x:v>
      </x:c>
      <x:c r="G40" s="232" t="str">
        <x:v>Disclaimer: independent educational analysis based solely on public information. Not investment advice, a credit commitment, an offer to lend, or Morrisons guidance. Forecasts and proposed terms are illustrative assumptions.</x:v>
      </x:c>
      <x:c r="H40" s="232" t="str">
        <x:v>Disclaimer: independent educational analysis based solely on public information. Not investment advice, a credit commitment, an offer to lend, or Morrisons guidance. Forecasts and proposed terms are illustrative assumptions.</x:v>
      </x:c>
      <x:c r="I40" s="232" t="str">
        <x:v>Disclaimer: independent educational analysis based solely on public information. Not investment advice, a credit commitment, an offer to lend, or Morrisons guidance. Forecasts and proposed terms are illustrative assumptions.</x:v>
      </x:c>
      <x:c r="J40" s="232" t="str">
        <x:v>Disclaimer: independent educational analysis based solely on public information. Not investment advice, a credit commitment, an offer to lend, or Morrisons guidance. Forecasts and proposed terms are illustrative assumptions.</x:v>
      </x:c>
      <x:c r="K40" s="232" t="str">
        <x:v>Disclaimer: independent educational analysis based solely on public information. Not investment advice, a credit commitment, an offer to lend, or Morrisons guidance. Forecasts and proposed terms are illustrative assumptions.</x:v>
      </x:c>
      <x:c r="L40" s="232" t="str">
        <x:v>Disclaimer: independent educational analysis based solely on public information. Not investment advice, a credit commitment, an offer to lend, or Morrisons guidance. Forecasts and proposed terms are illustrative assumptions.</x:v>
      </x:c>
      <x:c r="M40" s="232" t="str">
        <x:v>Disclaimer: independent educational analysis based solely on public information. Not investment advice, a credit commitment, an offer to lend, or Morrisons guidance. Forecasts and proposed terms are illustrative assumptions.</x:v>
      </x:c>
      <x:c r="N40" s="232" t="str">
        <x:v>Disclaimer: independent educational analysis based solely on public information. Not investment advice, a credit commitment, an offer to lend, or Morrisons guidance. Forecasts and proposed terms are illustrative assumptions.</x:v>
      </x:c>
      <x:c r="O40" s="232" t="str">
        <x:v>Disclaimer: independent educational analysis based solely on public information. Not investment advice, a credit commitment, an offer to lend, or Morrisons guidance. Forecasts and proposed terms are illustrative assumptions.</x:v>
      </x:c>
      <x:c r="P40" s="232" t="str">
        <x:v>Disclaimer: independent educational analysis based solely on public information. Not investment advice, a credit commitment, an offer to lend, or Morrisons guidance. Forecasts and proposed terms are illustrative assumptions.</x:v>
      </x:c>
      <x:c r="Q40" s="232" t="str">
        <x:v>Disclaimer: independent educational analysis based solely on public information. Not investment advice, a credit commitment, an offer to lend, or Morrisons guidance. Forecasts and proposed terms are illustrative assumptions.</x:v>
      </x:c>
    </x:row>
  </x:sheetData>
  <x:mergeCells>
    <x:mergeCell ref="A1:Q1"/>
    <x:mergeCell ref="A2:Q2"/>
    <x:mergeCell ref="A4:F6"/>
    <x:mergeCell ref="H4:Q6"/>
    <x:mergeCell ref="A8:D9"/>
    <x:mergeCell ref="A10:D11"/>
    <x:mergeCell ref="E8:H9"/>
    <x:mergeCell ref="E10:H11"/>
    <x:mergeCell ref="I8:L9"/>
    <x:mergeCell ref="I10:L11"/>
    <x:mergeCell ref="M8:Q9"/>
    <x:mergeCell ref="M10:Q11"/>
    <x:mergeCell ref="A13:F13"/>
    <x:mergeCell ref="A14:F24"/>
    <x:mergeCell ref="A26:F26"/>
    <x:mergeCell ref="A27:F37"/>
    <x:mergeCell ref="A39:Q40"/>
  </x:mergeCells>
  <x:pageMargins left="0.7" right="0.7" top="0.75" bottom="0.75" header="0.3" footer="0.3"/>
  <x:drawing xmlns:r="http://schemas.openxmlformats.org/officeDocument/2006/relationships" r:id="Raef54d44c0b042e7"/>
</x:worksheet>
</file>

<file path=xl/worksheets/sheet2.xml><?xml version="1.0" encoding="utf-8"?>
<x:worksheet xmlns:x="http://schemas.openxmlformats.org/spreadsheetml/2006/main">
  <x:sheetViews>
    <x:sheetView showGridLines="0" workbookViewId="0"/>
  </x:sheetViews>
  <x:sheetFormatPr defaultRowHeight="15"/>
  <x:cols>
    <x:col min="1" max="1" width="36" hidden="0" customWidth="1"/>
    <x:col min="2" max="2" width="14" hidden="0" customWidth="1"/>
    <x:col min="3" max="3" width="14" hidden="0" customWidth="1"/>
    <x:col min="4" max="4" width="14" hidden="0" customWidth="1"/>
    <x:col min="5" max="5" width="14" hidden="0" customWidth="1"/>
    <x:col min="6" max="6" width="14" hidden="0" customWidth="1"/>
    <x:col min="7" max="7" width="12" hidden="0" customWidth="1"/>
    <x:col min="8" max="8" width="12" hidden="0" customWidth="1"/>
  </x:cols>
  <x:sheetData>
    <x:row r="1" ht="31" customHeight="1">
      <x:c r="A1" s="5" t="str">
        <x:v>Morrisons | Underwriting Assumptions</x:v>
      </x:c>
      <x:c r="B1" s="5" t="str">
        <x:v>Morrisons | Underwriting Assumptions</x:v>
      </x:c>
      <x:c r="C1" s="5" t="str">
        <x:v>Morrisons | Underwriting Assumptions</x:v>
      </x:c>
      <x:c r="D1" s="5" t="str">
        <x:v>Morrisons | Underwriting Assumptions</x:v>
      </x:c>
      <x:c r="E1" s="5" t="str">
        <x:v>Morrisons | Underwriting Assumptions</x:v>
      </x:c>
      <x:c r="F1" s="5" t="str">
        <x:v>Morrisons | Underwriting Assumptions</x:v>
      </x:c>
      <x:c r="G1" s="5" t="str">
        <x:v>Morrisons | Underwriting Assumptions</x:v>
      </x:c>
      <x:c r="H1" s="5" t="str">
        <x:v>Morrisons | Underwriting Assumptions</x:v>
      </x:c>
      <x:c r="I1" s="233"/>
      <x:c r="J1" s="233"/>
      <x:c r="K1" s="233"/>
      <x:c r="L1" s="233"/>
      <x:c r="M1" s="233"/>
      <x:c r="N1" s="233"/>
      <x:c r="O1" s="233"/>
      <x:c r="P1" s="233"/>
      <x:c r="Q1" s="233"/>
    </x:row>
    <x:row r="2" ht="24" customHeight="1">
      <x:c r="A2" s="234" t="str">
        <x:v>Blue font = model input; green font = linked public data; black font = formula. £m unless stated.</x:v>
      </x:c>
      <x:c r="B2" s="234" t="str">
        <x:v>Blue font = model input; green font = linked public data; black font = formula. £m unless stated.</x:v>
      </x:c>
      <x:c r="C2" s="234" t="str">
        <x:v>Blue font = model input; green font = linked public data; black font = formula. £m unless stated.</x:v>
      </x:c>
      <x:c r="D2" s="234" t="str">
        <x:v>Blue font = model input; green font = linked public data; black font = formula. £m unless stated.</x:v>
      </x:c>
      <x:c r="E2" s="234" t="str">
        <x:v>Blue font = model input; green font = linked public data; black font = formula. £m unless stated.</x:v>
      </x:c>
      <x:c r="F2" s="234" t="str">
        <x:v>Blue font = model input; green font = linked public data; black font = formula. £m unless stated.</x:v>
      </x:c>
      <x:c r="G2" s="234" t="str">
        <x:v>Blue font = model input; green font = linked public data; black font = formula. £m unless stated.</x:v>
      </x:c>
      <x:c r="H2" s="234" t="str">
        <x:v>Blue font = model input; green font = linked public data; black font = formula. £m unless stated.</x:v>
      </x:c>
      <x:c r="I2" s="235"/>
      <x:c r="J2" s="235"/>
      <x:c r="K2" s="235"/>
      <x:c r="L2" s="235"/>
      <x:c r="M2" s="235"/>
      <x:c r="N2" s="235"/>
      <x:c r="O2" s="235"/>
      <x:c r="P2" s="235"/>
      <x:c r="Q2" s="235"/>
    </x:row>
    <x:row r="3">
      <x:c r="A3" s="235"/>
      <x:c r="B3" s="235"/>
      <x:c r="C3" s="235"/>
      <x:c r="D3" s="235"/>
      <x:c r="E3" s="235"/>
      <x:c r="F3" s="235"/>
      <x:c r="G3" s="235"/>
      <x:c r="H3" s="235"/>
      <x:c r="I3" s="235"/>
      <x:c r="J3" s="235"/>
      <x:c r="K3" s="235"/>
      <x:c r="L3" s="235"/>
      <x:c r="M3" s="235"/>
      <x:c r="N3" s="235"/>
      <x:c r="O3" s="235"/>
      <x:c r="P3" s="235"/>
      <x:c r="Q3" s="235"/>
    </x:row>
    <x:row r="4">
      <x:c r="A4" s="11" t="str">
        <x:v>Transaction &amp; Capital Structure</x:v>
      </x:c>
      <x:c r="B4" s="11" t="str">
        <x:v>Transaction &amp; Capital Structure</x:v>
      </x:c>
      <x:c r="C4" s="11" t="str">
        <x:v>Transaction &amp; Capital Structure</x:v>
      </x:c>
      <x:c r="D4" s="11" t="str">
        <x:v>Transaction &amp; Capital Structure</x:v>
      </x:c>
      <x:c r="E4" s="11" t="str">
        <x:v>Transaction &amp; Capital Structure</x:v>
      </x:c>
      <x:c r="F4" s="11" t="str">
        <x:v>Transaction &amp; Capital Structure</x:v>
      </x:c>
      <x:c r="G4" s="11" t="str">
        <x:v>Transaction &amp; Capital Structure</x:v>
      </x:c>
      <x:c r="H4" s="11" t="str">
        <x:v>Transaction &amp; Capital Structure</x:v>
      </x:c>
      <x:c r="I4" s="235"/>
      <x:c r="J4" s="235"/>
      <x:c r="K4" s="235"/>
      <x:c r="L4" s="235"/>
      <x:c r="M4" s="235"/>
      <x:c r="N4" s="235"/>
      <x:c r="O4" s="235"/>
      <x:c r="P4" s="235"/>
      <x:c r="Q4" s="235"/>
    </x:row>
    <x:row r="5">
      <x:c r="A5" s="235"/>
      <x:c r="B5" s="235"/>
      <x:c r="C5" s="235"/>
      <x:c r="D5" s="235"/>
      <x:c r="E5" s="235"/>
      <x:c r="F5" s="235"/>
      <x:c r="G5" s="235"/>
      <x:c r="H5" s="235"/>
      <x:c r="I5" s="235"/>
      <x:c r="J5" s="235"/>
      <x:c r="K5" s="235"/>
      <x:c r="L5" s="235"/>
      <x:c r="M5" s="235"/>
      <x:c r="N5" s="235"/>
      <x:c r="O5" s="235"/>
      <x:c r="P5" s="235"/>
      <x:c r="Q5" s="235"/>
    </x:row>
    <x:row r="6">
      <x:c r="A6" s="236" t="str">
        <x:v>Analysis date</x:v>
      </x:c>
      <x:c r="B6" s="237" t="str">
        <x:v>Jul-2026</x:v>
      </x:c>
      <x:c r="C6" s="235"/>
      <x:c r="D6" s="235"/>
      <x:c r="E6" s="235"/>
      <x:c r="F6" s="235"/>
      <x:c r="G6" s="235"/>
      <x:c r="H6" s="235"/>
      <x:c r="I6" s="235"/>
      <x:c r="J6" s="235"/>
      <x:c r="K6" s="235"/>
      <x:c r="L6" s="235"/>
      <x:c r="M6" s="235"/>
      <x:c r="N6" s="235"/>
      <x:c r="O6" s="235"/>
      <x:c r="P6" s="235"/>
      <x:c r="Q6" s="235"/>
    </x:row>
    <x:row r="7">
      <x:c r="A7" s="236" t="str">
        <x:v>Transaction</x:v>
      </x:c>
      <x:c r="B7" s="237" t="str">
        <x:v>Illustrative £900m senior secured term-out</x:v>
      </x:c>
      <x:c r="C7" s="235"/>
      <x:c r="D7" s="235"/>
      <x:c r="E7" s="235"/>
      <x:c r="F7" s="235"/>
      <x:c r="G7" s="235"/>
      <x:c r="H7" s="235"/>
      <x:c r="I7" s="235"/>
      <x:c r="J7" s="235"/>
      <x:c r="K7" s="235"/>
      <x:c r="L7" s="235"/>
      <x:c r="M7" s="235"/>
      <x:c r="N7" s="235"/>
      <x:c r="O7" s="235"/>
      <x:c r="P7" s="235"/>
      <x:c r="Q7" s="235"/>
    </x:row>
    <x:row r="8">
      <x:c r="A8" s="236" t="str">
        <x:v>Opening cash</x:v>
      </x:c>
      <x:c r="B8" s="238" t="n">
        <x:v>350</x:v>
      </x:c>
      <x:c r="C8" s="235"/>
      <x:c r="D8" s="235"/>
      <x:c r="E8" s="235"/>
      <x:c r="F8" s="235"/>
      <x:c r="G8" s="235"/>
      <x:c r="H8" s="235"/>
      <x:c r="I8" s="235"/>
      <x:c r="J8" s="235"/>
      <x:c r="K8" s="235"/>
      <x:c r="L8" s="235"/>
      <x:c r="M8" s="235"/>
      <x:c r="N8" s="235"/>
      <x:c r="O8" s="235"/>
      <x:c r="P8" s="235"/>
      <x:c r="Q8" s="235"/>
    </x:row>
    <x:row r="9">
      <x:c r="A9" s="236" t="str">
        <x:v>Minimum cash</x:v>
      </x:c>
      <x:c r="B9" s="238" t="n">
        <x:v>300</x:v>
      </x:c>
      <x:c r="C9" s="235"/>
      <x:c r="D9" s="235"/>
      <x:c r="E9" s="235"/>
      <x:c r="F9" s="235"/>
      <x:c r="G9" s="235"/>
      <x:c r="H9" s="235"/>
      <x:c r="I9" s="235"/>
      <x:c r="J9" s="235"/>
      <x:c r="K9" s="235"/>
      <x:c r="L9" s="235"/>
      <x:c r="M9" s="235"/>
      <x:c r="N9" s="235"/>
      <x:c r="O9" s="235"/>
      <x:c r="P9" s="235"/>
      <x:c r="Q9" s="235"/>
    </x:row>
    <x:row r="10">
      <x:c r="A10" s="236" t="str">
        <x:v>RCF commitment</x:v>
      </x:c>
      <x:c r="B10" s="238" t="n">
        <x:v>1000</x:v>
      </x:c>
      <x:c r="C10" s="235"/>
      <x:c r="D10" s="235"/>
      <x:c r="E10" s="235"/>
      <x:c r="F10" s="235"/>
      <x:c r="G10" s="235"/>
      <x:c r="H10" s="235"/>
      <x:c r="I10" s="235"/>
      <x:c r="J10" s="235"/>
      <x:c r="K10" s="235"/>
      <x:c r="L10" s="235"/>
      <x:c r="M10" s="235"/>
      <x:c r="N10" s="235"/>
      <x:c r="O10" s="235"/>
      <x:c r="P10" s="235"/>
      <x:c r="Q10" s="235"/>
    </x:row>
    <x:row r="11">
      <x:c r="A11" s="236" t="str">
        <x:v>RCF assumed all-in rate</x:v>
      </x:c>
      <x:c r="B11" s="239" t="n">
        <x:v>0.075</x:v>
      </x:c>
      <x:c r="C11" s="235"/>
      <x:c r="D11" s="235"/>
      <x:c r="E11" s="235"/>
      <x:c r="F11" s="235"/>
      <x:c r="G11" s="235"/>
      <x:c r="H11" s="235"/>
      <x:c r="I11" s="235"/>
      <x:c r="J11" s="235"/>
      <x:c r="K11" s="235"/>
      <x:c r="L11" s="235"/>
      <x:c r="M11" s="235"/>
      <x:c r="N11" s="235"/>
      <x:c r="O11" s="235"/>
      <x:c r="P11" s="235"/>
      <x:c r="Q11" s="235"/>
    </x:row>
    <x:row r="12">
      <x:c r="A12" s="236" t="str">
        <x:v>Existing term loans (2030)</x:v>
      </x:c>
      <x:c r="B12" s="238" t="n">
        <x:v>1650</x:v>
      </x:c>
      <x:c r="C12" s="235"/>
      <x:c r="D12" s="235"/>
      <x:c r="E12" s="235"/>
      <x:c r="F12" s="235"/>
      <x:c r="G12" s="235"/>
      <x:c r="H12" s="235"/>
      <x:c r="I12" s="235"/>
      <x:c r="J12" s="235"/>
      <x:c r="K12" s="235"/>
      <x:c r="L12" s="235"/>
      <x:c r="M12" s="235"/>
      <x:c r="N12" s="235"/>
      <x:c r="O12" s="235"/>
      <x:c r="P12" s="235"/>
      <x:c r="Q12" s="235"/>
    </x:row>
    <x:row r="13">
      <x:c r="A13" s="236" t="str">
        <x:v>Term loan assumed all-in rate</x:v>
      </x:c>
      <x:c r="B13" s="239" t="n">
        <x:v>0.075</x:v>
      </x:c>
      <x:c r="C13" s="235"/>
      <x:c r="D13" s="235"/>
      <x:c r="E13" s="235"/>
      <x:c r="F13" s="235"/>
      <x:c r="G13" s="235"/>
      <x:c r="H13" s="235"/>
      <x:c r="I13" s="235"/>
      <x:c r="J13" s="235"/>
      <x:c r="K13" s="235"/>
      <x:c r="L13" s="235"/>
      <x:c r="M13" s="235"/>
      <x:c r="N13" s="235"/>
      <x:c r="O13" s="235"/>
      <x:c r="P13" s="235"/>
      <x:c r="Q13" s="235"/>
    </x:row>
    <x:row r="14">
      <x:c r="A14" s="236" t="str">
        <x:v>Term loan annual amortisation</x:v>
      </x:c>
      <x:c r="B14" s="239" t="n">
        <x:v>0.01</x:v>
      </x:c>
      <x:c r="C14" s="235"/>
      <x:c r="D14" s="235"/>
      <x:c r="E14" s="235"/>
      <x:c r="F14" s="235"/>
      <x:c r="G14" s="235"/>
      <x:c r="H14" s="235"/>
      <x:c r="I14" s="235"/>
      <x:c r="J14" s="235"/>
      <x:c r="K14" s="235"/>
      <x:c r="L14" s="235"/>
      <x:c r="M14" s="235"/>
      <x:c r="N14" s="235"/>
      <x:c r="O14" s="235"/>
      <x:c r="P14" s="235"/>
      <x:c r="Q14" s="235"/>
    </x:row>
    <x:row r="15">
      <x:c r="A15" s="236" t="str">
        <x:v>2031 senior secured notes</x:v>
      </x:c>
      <x:c r="B15" s="238" t="n">
        <x:v>930</x:v>
      </x:c>
      <x:c r="C15" s="235"/>
      <x:c r="D15" s="235"/>
      <x:c r="E15" s="235"/>
      <x:c r="F15" s="235"/>
      <x:c r="G15" s="235"/>
      <x:c r="H15" s="235"/>
      <x:c r="I15" s="235"/>
      <x:c r="J15" s="235"/>
      <x:c r="K15" s="235"/>
      <x:c r="L15" s="235"/>
      <x:c r="M15" s="235"/>
      <x:c r="N15" s="235"/>
      <x:c r="O15" s="235"/>
      <x:c r="P15" s="235"/>
      <x:c r="Q15" s="235"/>
    </x:row>
    <x:row r="16">
      <x:c r="A16" s="236" t="str">
        <x:v>Weighted notes coupon</x:v>
      </x:c>
      <x:c r="B16" s="239" t="n">
        <x:v>0.0782</x:v>
      </x:c>
      <x:c r="C16" s="235"/>
      <x:c r="D16" s="235"/>
      <x:c r="E16" s="235"/>
      <x:c r="F16" s="235"/>
      <x:c r="G16" s="235"/>
      <x:c r="H16" s="235"/>
      <x:c r="I16" s="235"/>
      <x:c r="J16" s="235"/>
      <x:c r="K16" s="235"/>
      <x:c r="L16" s="235"/>
      <x:c r="M16" s="235"/>
      <x:c r="N16" s="235"/>
      <x:c r="O16" s="235"/>
      <x:c r="P16" s="235"/>
      <x:c r="Q16" s="235"/>
    </x:row>
    <x:row r="17">
      <x:c r="A17" s="236" t="str">
        <x:v>Proposed refinancing facility</x:v>
      </x:c>
      <x:c r="B17" s="238" t="n">
        <x:v>900</x:v>
      </x:c>
      <x:c r="C17" s="235"/>
      <x:c r="D17" s="235"/>
      <x:c r="E17" s="235"/>
      <x:c r="F17" s="235"/>
      <x:c r="G17" s="235"/>
      <x:c r="H17" s="235"/>
      <x:c r="I17" s="235"/>
      <x:c r="J17" s="235"/>
      <x:c r="K17" s="235"/>
      <x:c r="L17" s="235"/>
      <x:c r="M17" s="235"/>
      <x:c r="N17" s="235"/>
      <x:c r="O17" s="235"/>
      <x:c r="P17" s="235"/>
      <x:c r="Q17" s="235"/>
    </x:row>
    <x:row r="18">
      <x:c r="A18" s="236" t="str">
        <x:v>Proposed facility all-in rate</x:v>
      </x:c>
      <x:c r="B18" s="239" t="n">
        <x:v>0.0825</x:v>
      </x:c>
      <x:c r="C18" s="235"/>
      <x:c r="D18" s="235"/>
      <x:c r="E18" s="235"/>
      <x:c r="F18" s="235"/>
      <x:c r="G18" s="235"/>
      <x:c r="H18" s="235"/>
      <x:c r="I18" s="235"/>
      <x:c r="J18" s="235"/>
      <x:c r="K18" s="235"/>
      <x:c r="L18" s="235"/>
      <x:c r="M18" s="235"/>
      <x:c r="N18" s="235"/>
      <x:c r="O18" s="235"/>
      <x:c r="P18" s="235"/>
      <x:c r="Q18" s="235"/>
    </x:row>
    <x:row r="19">
      <x:c r="A19" s="236" t="str">
        <x:v>Proposed facility annual amortisation</x:v>
      </x:c>
      <x:c r="B19" s="239" t="n">
        <x:v>0.01</x:v>
      </x:c>
      <x:c r="C19" s="235"/>
      <x:c r="D19" s="235"/>
      <x:c r="E19" s="235"/>
      <x:c r="F19" s="235"/>
      <x:c r="G19" s="235"/>
      <x:c r="H19" s="235"/>
      <x:c r="I19" s="235"/>
      <x:c r="J19" s="235"/>
      <x:c r="K19" s="235"/>
      <x:c r="L19" s="235"/>
      <x:c r="M19" s="235"/>
      <x:c r="N19" s="235"/>
      <x:c r="O19" s="235"/>
      <x:c r="P19" s="235"/>
      <x:c r="Q19" s="235"/>
    </x:row>
    <x:row r="20">
      <x:c r="A20" s="236" t="str">
        <x:v>Excess cash flow sweep</x:v>
      </x:c>
      <x:c r="B20" s="239" t="n">
        <x:v>0.5</x:v>
      </x:c>
      <x:c r="C20" s="235"/>
      <x:c r="D20" s="235"/>
      <x:c r="E20" s="235"/>
      <x:c r="F20" s="235"/>
      <x:c r="G20" s="235"/>
      <x:c r="H20" s="235"/>
      <x:c r="I20" s="235"/>
      <x:c r="J20" s="235"/>
      <x:c r="K20" s="235"/>
      <x:c r="L20" s="235"/>
      <x:c r="M20" s="235"/>
      <x:c r="N20" s="235"/>
      <x:c r="O20" s="235"/>
      <x:c r="P20" s="235"/>
      <x:c r="Q20" s="235"/>
    </x:row>
    <x:row r="21">
      <x:c r="A21" s="236" t="str">
        <x:v>Lease interest (FY26E)</x:v>
      </x:c>
      <x:c r="B21" s="238" t="n">
        <x:v>105</x:v>
      </x:c>
      <x:c r="C21" s="235"/>
      <x:c r="D21" s="235"/>
      <x:c r="E21" s="235"/>
      <x:c r="F21" s="235"/>
      <x:c r="G21" s="235"/>
      <x:c r="H21" s="235"/>
      <x:c r="I21" s="235"/>
      <x:c r="J21" s="235"/>
      <x:c r="K21" s="235"/>
      <x:c r="L21" s="235"/>
      <x:c r="M21" s="235"/>
      <x:c r="N21" s="235"/>
      <x:c r="O21" s="235"/>
      <x:c r="P21" s="235"/>
      <x:c r="Q21" s="235"/>
    </x:row>
    <x:row r="22">
      <x:c r="A22" s="236" t="str">
        <x:v>Lease interest annual growth</x:v>
      </x:c>
      <x:c r="B22" s="239" t="n">
        <x:v>0.02</x:v>
      </x:c>
      <x:c r="C22" s="235"/>
      <x:c r="D22" s="235"/>
      <x:c r="E22" s="235"/>
      <x:c r="F22" s="235"/>
      <x:c r="G22" s="235"/>
      <x:c r="H22" s="235"/>
      <x:c r="I22" s="235"/>
      <x:c r="J22" s="235"/>
      <x:c r="K22" s="235"/>
      <x:c r="L22" s="235"/>
      <x:c r="M22" s="235"/>
      <x:c r="N22" s="235"/>
      <x:c r="O22" s="235"/>
      <x:c r="P22" s="235"/>
      <x:c r="Q22" s="235"/>
    </x:row>
    <x:row r="23">
      <x:c r="A23" s="235"/>
      <x:c r="B23" s="235"/>
      <x:c r="C23" s="235"/>
      <x:c r="D23" s="235"/>
      <x:c r="E23" s="235"/>
      <x:c r="F23" s="235"/>
      <x:c r="G23" s="235"/>
      <x:c r="H23" s="235"/>
      <x:c r="I23" s="235"/>
      <x:c r="J23" s="235"/>
      <x:c r="K23" s="235"/>
      <x:c r="L23" s="235"/>
      <x:c r="M23" s="235"/>
      <x:c r="N23" s="235"/>
      <x:c r="O23" s="235"/>
      <x:c r="P23" s="235"/>
      <x:c r="Q23" s="235"/>
    </x:row>
    <x:row r="24">
      <x:c r="A24" s="235"/>
      <x:c r="B24" s="235"/>
      <x:c r="C24" s="235"/>
      <x:c r="D24" s="235"/>
      <x:c r="E24" s="235"/>
      <x:c r="F24" s="235"/>
      <x:c r="G24" s="235"/>
      <x:c r="H24" s="235"/>
      <x:c r="I24" s="235"/>
      <x:c r="J24" s="235"/>
      <x:c r="K24" s="235"/>
      <x:c r="L24" s="235"/>
      <x:c r="M24" s="235"/>
      <x:c r="N24" s="235"/>
      <x:c r="O24" s="235"/>
      <x:c r="P24" s="235"/>
      <x:c r="Q24" s="235"/>
    </x:row>
    <x:row r="25">
      <x:c r="A25" s="11" t="str">
        <x:v>Base Case Operating Assumptions</x:v>
      </x:c>
      <x:c r="B25" s="11" t="str">
        <x:v>Base Case Operating Assumptions</x:v>
      </x:c>
      <x:c r="C25" s="11" t="str">
        <x:v>Base Case Operating Assumptions</x:v>
      </x:c>
      <x:c r="D25" s="11" t="str">
        <x:v>Base Case Operating Assumptions</x:v>
      </x:c>
      <x:c r="E25" s="11" t="str">
        <x:v>Base Case Operating Assumptions</x:v>
      </x:c>
      <x:c r="F25" s="11" t="str">
        <x:v>Base Case Operating Assumptions</x:v>
      </x:c>
      <x:c r="G25" s="11" t="str">
        <x:v>Base Case Operating Assumptions</x:v>
      </x:c>
      <x:c r="H25" s="11" t="str">
        <x:v>Base Case Operating Assumptions</x:v>
      </x:c>
      <x:c r="I25" s="235"/>
      <x:c r="J25" s="235"/>
      <x:c r="K25" s="235"/>
      <x:c r="L25" s="235"/>
      <x:c r="M25" s="235"/>
      <x:c r="N25" s="235"/>
      <x:c r="O25" s="235"/>
      <x:c r="P25" s="235"/>
      <x:c r="Q25" s="235"/>
    </x:row>
    <x:row r="26">
      <x:c r="A26" s="240" t="str">
        <x:v>Metric</x:v>
      </x:c>
      <x:c r="B26" s="240" t="str">
        <x:v>2026E</x:v>
      </x:c>
      <x:c r="C26" s="240" t="str">
        <x:v>2027E</x:v>
      </x:c>
      <x:c r="D26" s="240" t="str">
        <x:v>2028E</x:v>
      </x:c>
      <x:c r="E26" s="240" t="str">
        <x:v>2029E</x:v>
      </x:c>
      <x:c r="F26" s="240" t="str">
        <x:v>2030E</x:v>
      </x:c>
      <x:c r="G26" s="235"/>
      <x:c r="H26" s="235"/>
      <x:c r="I26" s="235"/>
      <x:c r="J26" s="235"/>
      <x:c r="K26" s="235"/>
      <x:c r="L26" s="235"/>
      <x:c r="M26" s="235"/>
      <x:c r="N26" s="235"/>
      <x:c r="O26" s="235"/>
      <x:c r="P26" s="235"/>
      <x:c r="Q26" s="235"/>
    </x:row>
    <x:row r="27">
      <x:c r="A27" s="235" t="str">
        <x:v>Revenue growth</x:v>
      </x:c>
      <x:c r="B27" s="239" t="n">
        <x:v>0.027</x:v>
      </x:c>
      <x:c r="C27" s="239" t="n">
        <x:v>0.025</x:v>
      </x:c>
      <x:c r="D27" s="239" t="n">
        <x:v>0.023</x:v>
      </x:c>
      <x:c r="E27" s="239" t="n">
        <x:v>0.02</x:v>
      </x:c>
      <x:c r="F27" s="239" t="n">
        <x:v>0.02</x:v>
      </x:c>
      <x:c r="G27" s="235"/>
      <x:c r="H27" s="235"/>
      <x:c r="I27" s="235"/>
      <x:c r="J27" s="235"/>
      <x:c r="K27" s="235"/>
      <x:c r="L27" s="235"/>
      <x:c r="M27" s="235"/>
      <x:c r="N27" s="235"/>
      <x:c r="O27" s="235"/>
      <x:c r="P27" s="235"/>
      <x:c r="Q27" s="235"/>
    </x:row>
    <x:row r="28">
      <x:c r="A28" s="235" t="str">
        <x:v>EBITDA margin</x:v>
      </x:c>
      <x:c r="B28" s="239" t="n">
        <x:v>0.0535</x:v>
      </x:c>
      <x:c r="C28" s="239" t="n">
        <x:v>0.0545</x:v>
      </x:c>
      <x:c r="D28" s="239" t="n">
        <x:v>0.0555</x:v>
      </x:c>
      <x:c r="E28" s="239" t="n">
        <x:v>0.056</x:v>
      </x:c>
      <x:c r="F28" s="239" t="n">
        <x:v>0.0565</x:v>
      </x:c>
      <x:c r="G28" s="235"/>
      <x:c r="H28" s="235"/>
      <x:c r="I28" s="235"/>
      <x:c r="J28" s="235"/>
      <x:c r="K28" s="235"/>
      <x:c r="L28" s="235"/>
      <x:c r="M28" s="235"/>
      <x:c r="N28" s="235"/>
      <x:c r="O28" s="235"/>
      <x:c r="P28" s="235"/>
      <x:c r="Q28" s="235"/>
    </x:row>
    <x:row r="29">
      <x:c r="A29" s="235" t="str">
        <x:v>Capex / revenue</x:v>
      </x:c>
      <x:c r="B29" s="239" t="n">
        <x:v>0.0245</x:v>
      </x:c>
      <x:c r="C29" s="239" t="n">
        <x:v>0.0245</x:v>
      </x:c>
      <x:c r="D29" s="239" t="n">
        <x:v>0.0245</x:v>
      </x:c>
      <x:c r="E29" s="239" t="n">
        <x:v>0.0245</x:v>
      </x:c>
      <x:c r="F29" s="239" t="n">
        <x:v>0.0245</x:v>
      </x:c>
      <x:c r="G29" s="235"/>
      <x:c r="H29" s="235"/>
      <x:c r="I29" s="235"/>
      <x:c r="J29" s="235"/>
      <x:c r="K29" s="235"/>
      <x:c r="L29" s="235"/>
      <x:c r="M29" s="235"/>
      <x:c r="N29" s="235"/>
      <x:c r="O29" s="235"/>
      <x:c r="P29" s="235"/>
      <x:c r="Q29" s="235"/>
    </x:row>
    <x:row r="30">
      <x:c r="A30" s="235" t="str">
        <x:v>Cash taxes / EBITDA</x:v>
      </x:c>
      <x:c r="B30" s="239" t="n">
        <x:v>0</x:v>
      </x:c>
      <x:c r="C30" s="239" t="n">
        <x:v>0.01</x:v>
      </x:c>
      <x:c r="D30" s="239" t="n">
        <x:v>0.02</x:v>
      </x:c>
      <x:c r="E30" s="239" t="n">
        <x:v>0.03</x:v>
      </x:c>
      <x:c r="F30" s="239" t="n">
        <x:v>0.04</x:v>
      </x:c>
      <x:c r="G30" s="235"/>
      <x:c r="H30" s="235"/>
      <x:c r="I30" s="235"/>
      <x:c r="J30" s="235"/>
      <x:c r="K30" s="235"/>
      <x:c r="L30" s="235"/>
      <x:c r="M30" s="235"/>
      <x:c r="N30" s="235"/>
      <x:c r="O30" s="235"/>
      <x:c r="P30" s="235"/>
      <x:c r="Q30" s="235"/>
    </x:row>
    <x:row r="31">
      <x:c r="A31" s="235" t="str">
        <x:v>Working capital &amp; other cash inflow</x:v>
      </x:c>
      <x:c r="B31" s="238" t="n">
        <x:v>60</x:v>
      </x:c>
      <x:c r="C31" s="238" t="n">
        <x:v>40</x:v>
      </x:c>
      <x:c r="D31" s="238" t="n">
        <x:v>30</x:v>
      </x:c>
      <x:c r="E31" s="238" t="n">
        <x:v>20</x:v>
      </x:c>
      <x:c r="F31" s="238" t="n">
        <x:v>20</x:v>
      </x:c>
      <x:c r="G31" s="235"/>
      <x:c r="H31" s="235"/>
      <x:c r="I31" s="235"/>
      <x:c r="J31" s="235"/>
      <x:c r="K31" s="235"/>
      <x:c r="L31" s="235"/>
      <x:c r="M31" s="235"/>
      <x:c r="N31" s="235"/>
      <x:c r="O31" s="235"/>
      <x:c r="P31" s="235"/>
      <x:c r="Q31" s="235"/>
    </x:row>
    <x:row r="32">
      <x:c r="A32" s="235" t="str">
        <x:v>Lease principal</x:v>
      </x:c>
      <x:c r="B32" s="238" t="n">
        <x:v>120</x:v>
      </x:c>
      <x:c r="C32" s="238" t="n">
        <x:v>123</x:v>
      </x:c>
      <x:c r="D32" s="238" t="n">
        <x:v>126</x:v>
      </x:c>
      <x:c r="E32" s="238" t="n">
        <x:v>129</x:v>
      </x:c>
      <x:c r="F32" s="238" t="n">
        <x:v>132</x:v>
      </x:c>
      <x:c r="G32" s="235"/>
      <x:c r="H32" s="235"/>
      <x:c r="I32" s="235"/>
      <x:c r="J32" s="235"/>
      <x:c r="K32" s="235"/>
      <x:c r="L32" s="235"/>
      <x:c r="M32" s="235"/>
      <x:c r="N32" s="235"/>
      <x:c r="O32" s="235"/>
      <x:c r="P32" s="235"/>
      <x:c r="Q32" s="235"/>
    </x:row>
    <x:row r="33">
      <x:c r="A33" s="235"/>
      <x:c r="B33" s="235"/>
      <x:c r="C33" s="235"/>
      <x:c r="D33" s="235"/>
      <x:c r="E33" s="235"/>
      <x:c r="F33" s="235"/>
      <x:c r="G33" s="235"/>
      <x:c r="H33" s="235"/>
      <x:c r="I33" s="235"/>
      <x:c r="J33" s="235"/>
      <x:c r="K33" s="235"/>
      <x:c r="L33" s="235"/>
      <x:c r="M33" s="235"/>
      <x:c r="N33" s="235"/>
      <x:c r="O33" s="235"/>
      <x:c r="P33" s="235"/>
      <x:c r="Q33" s="235"/>
    </x:row>
    <x:row r="34">
      <x:c r="A34" s="235"/>
      <x:c r="B34" s="235"/>
      <x:c r="C34" s="235"/>
      <x:c r="D34" s="235"/>
      <x:c r="E34" s="235"/>
      <x:c r="F34" s="235"/>
      <x:c r="G34" s="235"/>
      <x:c r="H34" s="235"/>
      <x:c r="I34" s="235"/>
      <x:c r="J34" s="235"/>
      <x:c r="K34" s="235"/>
      <x:c r="L34" s="235"/>
      <x:c r="M34" s="235"/>
      <x:c r="N34" s="235"/>
      <x:c r="O34" s="235"/>
      <x:c r="P34" s="235"/>
      <x:c r="Q34" s="235"/>
    </x:row>
    <x:row r="35">
      <x:c r="A35" s="11" t="str">
        <x:v>Downside Operating Assumptions</x:v>
      </x:c>
      <x:c r="B35" s="11" t="str">
        <x:v>Downside Operating Assumptions</x:v>
      </x:c>
      <x:c r="C35" s="11" t="str">
        <x:v>Downside Operating Assumptions</x:v>
      </x:c>
      <x:c r="D35" s="11" t="str">
        <x:v>Downside Operating Assumptions</x:v>
      </x:c>
      <x:c r="E35" s="11" t="str">
        <x:v>Downside Operating Assumptions</x:v>
      </x:c>
      <x:c r="F35" s="11" t="str">
        <x:v>Downside Operating Assumptions</x:v>
      </x:c>
      <x:c r="G35" s="11" t="str">
        <x:v>Downside Operating Assumptions</x:v>
      </x:c>
      <x:c r="H35" s="11" t="str">
        <x:v>Downside Operating Assumptions</x:v>
      </x:c>
      <x:c r="I35" s="235"/>
      <x:c r="J35" s="235"/>
      <x:c r="K35" s="235"/>
      <x:c r="L35" s="235"/>
      <x:c r="M35" s="235"/>
      <x:c r="N35" s="235"/>
      <x:c r="O35" s="235"/>
      <x:c r="P35" s="235"/>
      <x:c r="Q35" s="235"/>
    </x:row>
    <x:row r="36">
      <x:c r="A36" s="240" t="str">
        <x:v>Metric</x:v>
      </x:c>
      <x:c r="B36" s="240" t="str">
        <x:v>2026E</x:v>
      </x:c>
      <x:c r="C36" s="240" t="str">
        <x:v>2027E</x:v>
      </x:c>
      <x:c r="D36" s="240" t="str">
        <x:v>2028E</x:v>
      </x:c>
      <x:c r="E36" s="240" t="str">
        <x:v>2029E</x:v>
      </x:c>
      <x:c r="F36" s="240" t="str">
        <x:v>2030E</x:v>
      </x:c>
      <x:c r="G36" s="235"/>
      <x:c r="H36" s="235"/>
      <x:c r="I36" s="235"/>
      <x:c r="J36" s="235"/>
      <x:c r="K36" s="235"/>
      <x:c r="L36" s="235"/>
      <x:c r="M36" s="235"/>
      <x:c r="N36" s="235"/>
      <x:c r="O36" s="235"/>
      <x:c r="P36" s="235"/>
      <x:c r="Q36" s="235"/>
    </x:row>
    <x:row r="37">
      <x:c r="A37" s="235" t="str">
        <x:v>Revenue growth</x:v>
      </x:c>
      <x:c r="B37" s="239" t="n">
        <x:v>0</x:v>
      </x:c>
      <x:c r="C37" s="239" t="n">
        <x:v>-0.01</x:v>
      </x:c>
      <x:c r="D37" s="239" t="n">
        <x:v>0</x:v>
      </x:c>
      <x:c r="E37" s="239" t="n">
        <x:v>0.01</x:v>
      </x:c>
      <x:c r="F37" s="239" t="n">
        <x:v>0.015</x:v>
      </x:c>
      <x:c r="G37" s="235"/>
      <x:c r="H37" s="235"/>
      <x:c r="I37" s="235"/>
      <x:c r="J37" s="235"/>
      <x:c r="K37" s="235"/>
      <x:c r="L37" s="235"/>
      <x:c r="M37" s="235"/>
      <x:c r="N37" s="235"/>
      <x:c r="O37" s="235"/>
      <x:c r="P37" s="235"/>
      <x:c r="Q37" s="235"/>
    </x:row>
    <x:row r="38">
      <x:c r="A38" s="235" t="str">
        <x:v>EBITDA margin</x:v>
      </x:c>
      <x:c r="B38" s="239" t="n">
        <x:v>0.0475</x:v>
      </x:c>
      <x:c r="C38" s="239" t="n">
        <x:v>0.0465</x:v>
      </x:c>
      <x:c r="D38" s="239" t="n">
        <x:v>0.0475</x:v>
      </x:c>
      <x:c r="E38" s="239" t="n">
        <x:v>0.049</x:v>
      </x:c>
      <x:c r="F38" s="239" t="n">
        <x:v>0.05</x:v>
      </x:c>
      <x:c r="G38" s="235"/>
      <x:c r="H38" s="235"/>
      <x:c r="I38" s="235"/>
      <x:c r="J38" s="235"/>
      <x:c r="K38" s="235"/>
      <x:c r="L38" s="235"/>
      <x:c r="M38" s="235"/>
      <x:c r="N38" s="235"/>
      <x:c r="O38" s="235"/>
      <x:c r="P38" s="235"/>
      <x:c r="Q38" s="235"/>
    </x:row>
    <x:row r="39">
      <x:c r="A39" s="235" t="str">
        <x:v>Capex / revenue</x:v>
      </x:c>
      <x:c r="B39" s="239" t="n">
        <x:v>0.019</x:v>
      </x:c>
      <x:c r="C39" s="239" t="n">
        <x:v>0.019</x:v>
      </x:c>
      <x:c r="D39" s="239" t="n">
        <x:v>0.02</x:v>
      </x:c>
      <x:c r="E39" s="239" t="n">
        <x:v>0.021</x:v>
      </x:c>
      <x:c r="F39" s="239" t="n">
        <x:v>0.022</x:v>
      </x:c>
      <x:c r="G39" s="235"/>
      <x:c r="H39" s="235"/>
      <x:c r="I39" s="235"/>
      <x:c r="J39" s="235"/>
      <x:c r="K39" s="235"/>
      <x:c r="L39" s="235"/>
      <x:c r="M39" s="235"/>
      <x:c r="N39" s="235"/>
      <x:c r="O39" s="235"/>
      <x:c r="P39" s="235"/>
      <x:c r="Q39" s="235"/>
    </x:row>
    <x:row r="40">
      <x:c r="A40" s="235" t="str">
        <x:v>Cash taxes / EBITDA</x:v>
      </x:c>
      <x:c r="B40" s="239" t="n">
        <x:v>0</x:v>
      </x:c>
      <x:c r="C40" s="239" t="n">
        <x:v>0</x:v>
      </x:c>
      <x:c r="D40" s="239" t="n">
        <x:v>0</x:v>
      </x:c>
      <x:c r="E40" s="239" t="n">
        <x:v>0.01</x:v>
      </x:c>
      <x:c r="F40" s="239" t="n">
        <x:v>0.02</x:v>
      </x:c>
      <x:c r="G40" s="235"/>
      <x:c r="H40" s="235"/>
      <x:c r="I40" s="235"/>
      <x:c r="J40" s="235"/>
      <x:c r="K40" s="235"/>
      <x:c r="L40" s="235"/>
      <x:c r="M40" s="235"/>
      <x:c r="N40" s="235"/>
      <x:c r="O40" s="235"/>
      <x:c r="P40" s="235"/>
      <x:c r="Q40" s="235"/>
    </x:row>
    <x:row r="41">
      <x:c r="A41" s="235" t="str">
        <x:v>Working capital &amp; other cash inflow</x:v>
      </x:c>
      <x:c r="B41" s="238" t="n">
        <x:v>20</x:v>
      </x:c>
      <x:c r="C41" s="238" t="n">
        <x:v>0</x:v>
      </x:c>
      <x:c r="D41" s="238" t="n">
        <x:v>-20</x:v>
      </x:c>
      <x:c r="E41" s="238" t="n">
        <x:v>0</x:v>
      </x:c>
      <x:c r="F41" s="238" t="n">
        <x:v>10</x:v>
      </x:c>
      <x:c r="G41" s="235"/>
      <x:c r="H41" s="235"/>
      <x:c r="I41" s="235"/>
      <x:c r="J41" s="235"/>
      <x:c r="K41" s="235"/>
      <x:c r="L41" s="235"/>
      <x:c r="M41" s="235"/>
      <x:c r="N41" s="235"/>
      <x:c r="O41" s="235"/>
      <x:c r="P41" s="235"/>
      <x:c r="Q41" s="235"/>
    </x:row>
    <x:row r="42">
      <x:c r="A42" s="235" t="str">
        <x:v>Lease principal</x:v>
      </x:c>
      <x:c r="B42" s="238" t="n">
        <x:v>120</x:v>
      </x:c>
      <x:c r="C42" s="238" t="n">
        <x:v>123</x:v>
      </x:c>
      <x:c r="D42" s="238" t="n">
        <x:v>126</x:v>
      </x:c>
      <x:c r="E42" s="238" t="n">
        <x:v>129</x:v>
      </x:c>
      <x:c r="F42" s="238" t="n">
        <x:v>132</x:v>
      </x:c>
      <x:c r="G42" s="235"/>
      <x:c r="H42" s="235"/>
      <x:c r="I42" s="235"/>
      <x:c r="J42" s="235"/>
      <x:c r="K42" s="235"/>
      <x:c r="L42" s="235"/>
      <x:c r="M42" s="235"/>
      <x:c r="N42" s="235"/>
      <x:c r="O42" s="235"/>
      <x:c r="P42" s="235"/>
      <x:c r="Q42" s="235"/>
    </x:row>
    <x:row r="43">
      <x:c r="A43" s="235"/>
      <x:c r="B43" s="235"/>
      <x:c r="C43" s="235"/>
      <x:c r="D43" s="235"/>
      <x:c r="E43" s="235"/>
      <x:c r="F43" s="235"/>
      <x:c r="G43" s="235"/>
      <x:c r="H43" s="235"/>
      <x:c r="I43" s="235"/>
      <x:c r="J43" s="235"/>
      <x:c r="K43" s="235"/>
      <x:c r="L43" s="235"/>
      <x:c r="M43" s="235"/>
      <x:c r="N43" s="235"/>
      <x:c r="O43" s="235"/>
      <x:c r="P43" s="235"/>
      <x:c r="Q43" s="235"/>
    </x:row>
    <x:row r="44">
      <x:c r="A44" s="235"/>
      <x:c r="B44" s="235"/>
      <x:c r="C44" s="235"/>
      <x:c r="D44" s="235"/>
      <x:c r="E44" s="235"/>
      <x:c r="F44" s="235"/>
      <x:c r="G44" s="235"/>
      <x:c r="H44" s="235"/>
      <x:c r="I44" s="235"/>
      <x:c r="J44" s="235"/>
      <x:c r="K44" s="235"/>
      <x:c r="L44" s="235"/>
      <x:c r="M44" s="235"/>
      <x:c r="N44" s="235"/>
      <x:c r="O44" s="235"/>
      <x:c r="P44" s="235"/>
      <x:c r="Q44" s="235"/>
    </x:row>
    <x:row r="45">
      <x:c r="A45" s="241" t="str">
        <x:v>Scope note: the model is a lender-style cash flow and debt schedule, not a full three-statement forecast. FY25A revenue and EBITDA are public. Opening cash, post-refinancing debt allocation, pricing, operating forecasts and covenant terms are independent illustrative assumptions. Lease-adjusted rating-agency leverage may be materially higher than the pre-IFRS 16 lender metrics shown here.</x:v>
      </x:c>
      <x:c r="B45" s="241" t="str">
        <x:v>Scope note: the model is a lender-style cash flow and debt schedule, not a full three-statement forecast. FY25A revenue and EBITDA are public. Opening cash, post-refinancing debt allocation, pricing, operating forecasts and covenant terms are independent illustrative assumptions. Lease-adjusted rating-agency leverage may be materially higher than the pre-IFRS 16 lender metrics shown here.</x:v>
      </x:c>
      <x:c r="C45" s="241" t="str">
        <x:v>Scope note: the model is a lender-style cash flow and debt schedule, not a full three-statement forecast. FY25A revenue and EBITDA are public. Opening cash, post-refinancing debt allocation, pricing, operating forecasts and covenant terms are independent illustrative assumptions. Lease-adjusted rating-agency leverage may be materially higher than the pre-IFRS 16 lender metrics shown here.</x:v>
      </x:c>
      <x:c r="D45" s="241" t="str">
        <x:v>Scope note: the model is a lender-style cash flow and debt schedule, not a full three-statement forecast. FY25A revenue and EBITDA are public. Opening cash, post-refinancing debt allocation, pricing, operating forecasts and covenant terms are independent illustrative assumptions. Lease-adjusted rating-agency leverage may be materially higher than the pre-IFRS 16 lender metrics shown here.</x:v>
      </x:c>
      <x:c r="E45" s="241" t="str">
        <x:v>Scope note: the model is a lender-style cash flow and debt schedule, not a full three-statement forecast. FY25A revenue and EBITDA are public. Opening cash, post-refinancing debt allocation, pricing, operating forecasts and covenant terms are independent illustrative assumptions. Lease-adjusted rating-agency leverage may be materially higher than the pre-IFRS 16 lender metrics shown here.</x:v>
      </x:c>
      <x:c r="F45" s="241" t="str">
        <x:v>Scope note: the model is a lender-style cash flow and debt schedule, not a full three-statement forecast. FY25A revenue and EBITDA are public. Opening cash, post-refinancing debt allocation, pricing, operating forecasts and covenant terms are independent illustrative assumptions. Lease-adjusted rating-agency leverage may be materially higher than the pre-IFRS 16 lender metrics shown here.</x:v>
      </x:c>
      <x:c r="G45" s="241" t="str">
        <x:v>Scope note: the model is a lender-style cash flow and debt schedule, not a full three-statement forecast. FY25A revenue and EBITDA are public. Opening cash, post-refinancing debt allocation, pricing, operating forecasts and covenant terms are independent illustrative assumptions. Lease-adjusted rating-agency leverage may be materially higher than the pre-IFRS 16 lender metrics shown here.</x:v>
      </x:c>
      <x:c r="H45" s="241" t="str">
        <x:v>Scope note: the model is a lender-style cash flow and debt schedule, not a full three-statement forecast. FY25A revenue and EBITDA are public. Opening cash, post-refinancing debt allocation, pricing, operating forecasts and covenant terms are independent illustrative assumptions. Lease-adjusted rating-agency leverage may be materially higher than the pre-IFRS 16 lender metrics shown here.</x:v>
      </x:c>
      <x:c r="I45" s="235"/>
      <x:c r="J45" s="235"/>
      <x:c r="K45" s="235"/>
      <x:c r="L45" s="235"/>
      <x:c r="M45" s="235"/>
      <x:c r="N45" s="235"/>
      <x:c r="O45" s="235"/>
      <x:c r="P45" s="235"/>
      <x:c r="Q45" s="235"/>
    </x:row>
    <x:row r="46">
      <x:c r="A46" s="241" t="str">
        <x:v>Scope note: the model is a lender-style cash flow and debt schedule, not a full three-statement forecast. FY25A revenue and EBITDA are public. Opening cash, post-refinancing debt allocation, pricing, operating forecasts and covenant terms are independent illustrative assumptions. Lease-adjusted rating-agency leverage may be materially higher than the pre-IFRS 16 lender metrics shown here.</x:v>
      </x:c>
      <x:c r="B46" s="241" t="str">
        <x:v>Scope note: the model is a lender-style cash flow and debt schedule, not a full three-statement forecast. FY25A revenue and EBITDA are public. Opening cash, post-refinancing debt allocation, pricing, operating forecasts and covenant terms are independent illustrative assumptions. Lease-adjusted rating-agency leverage may be materially higher than the pre-IFRS 16 lender metrics shown here.</x:v>
      </x:c>
      <x:c r="C46" s="241" t="str">
        <x:v>Scope note: the model is a lender-style cash flow and debt schedule, not a full three-statement forecast. FY25A revenue and EBITDA are public. Opening cash, post-refinancing debt allocation, pricing, operating forecasts and covenant terms are independent illustrative assumptions. Lease-adjusted rating-agency leverage may be materially higher than the pre-IFRS 16 lender metrics shown here.</x:v>
      </x:c>
      <x:c r="D46" s="241" t="str">
        <x:v>Scope note: the model is a lender-style cash flow and debt schedule, not a full three-statement forecast. FY25A revenue and EBITDA are public. Opening cash, post-refinancing debt allocation, pricing, operating forecasts and covenant terms are independent illustrative assumptions. Lease-adjusted rating-agency leverage may be materially higher than the pre-IFRS 16 lender metrics shown here.</x:v>
      </x:c>
      <x:c r="E46" s="241" t="str">
        <x:v>Scope note: the model is a lender-style cash flow and debt schedule, not a full three-statement forecast. FY25A revenue and EBITDA are public. Opening cash, post-refinancing debt allocation, pricing, operating forecasts and covenant terms are independent illustrative assumptions. Lease-adjusted rating-agency leverage may be materially higher than the pre-IFRS 16 lender metrics shown here.</x:v>
      </x:c>
      <x:c r="F46" s="241" t="str">
        <x:v>Scope note: the model is a lender-style cash flow and debt schedule, not a full three-statement forecast. FY25A revenue and EBITDA are public. Opening cash, post-refinancing debt allocation, pricing, operating forecasts and covenant terms are independent illustrative assumptions. Lease-adjusted rating-agency leverage may be materially higher than the pre-IFRS 16 lender metrics shown here.</x:v>
      </x:c>
      <x:c r="G46" s="241" t="str">
        <x:v>Scope note: the model is a lender-style cash flow and debt schedule, not a full three-statement forecast. FY25A revenue and EBITDA are public. Opening cash, post-refinancing debt allocation, pricing, operating forecasts and covenant terms are independent illustrative assumptions. Lease-adjusted rating-agency leverage may be materially higher than the pre-IFRS 16 lender metrics shown here.</x:v>
      </x:c>
      <x:c r="H46" s="241" t="str">
        <x:v>Scope note: the model is a lender-style cash flow and debt schedule, not a full three-statement forecast. FY25A revenue and EBITDA are public. Opening cash, post-refinancing debt allocation, pricing, operating forecasts and covenant terms are independent illustrative assumptions. Lease-adjusted rating-agency leverage may be materially higher than the pre-IFRS 16 lender metrics shown here.</x:v>
      </x:c>
      <x:c r="I46" s="235"/>
      <x:c r="J46" s="235"/>
      <x:c r="K46" s="235"/>
      <x:c r="L46" s="235"/>
      <x:c r="M46" s="235"/>
      <x:c r="N46" s="235"/>
      <x:c r="O46" s="235"/>
      <x:c r="P46" s="235"/>
      <x:c r="Q46" s="235"/>
    </x:row>
    <x:row r="47">
      <x:c r="A47" s="241" t="str">
        <x:v>Scope note: the model is a lender-style cash flow and debt schedule, not a full three-statement forecast. FY25A revenue and EBITDA are public. Opening cash, post-refinancing debt allocation, pricing, operating forecasts and covenant terms are independent illustrative assumptions. Lease-adjusted rating-agency leverage may be materially higher than the pre-IFRS 16 lender metrics shown here.</x:v>
      </x:c>
      <x:c r="B47" s="241" t="str">
        <x:v>Scope note: the model is a lender-style cash flow and debt schedule, not a full three-statement forecast. FY25A revenue and EBITDA are public. Opening cash, post-refinancing debt allocation, pricing, operating forecasts and covenant terms are independent illustrative assumptions. Lease-adjusted rating-agency leverage may be materially higher than the pre-IFRS 16 lender metrics shown here.</x:v>
      </x:c>
      <x:c r="C47" s="241" t="str">
        <x:v>Scope note: the model is a lender-style cash flow and debt schedule, not a full three-statement forecast. FY25A revenue and EBITDA are public. Opening cash, post-refinancing debt allocation, pricing, operating forecasts and covenant terms are independent illustrative assumptions. Lease-adjusted rating-agency leverage may be materially higher than the pre-IFRS 16 lender metrics shown here.</x:v>
      </x:c>
      <x:c r="D47" s="241" t="str">
        <x:v>Scope note: the model is a lender-style cash flow and debt schedule, not a full three-statement forecast. FY25A revenue and EBITDA are public. Opening cash, post-refinancing debt allocation, pricing, operating forecasts and covenant terms are independent illustrative assumptions. Lease-adjusted rating-agency leverage may be materially higher than the pre-IFRS 16 lender metrics shown here.</x:v>
      </x:c>
      <x:c r="E47" s="241" t="str">
        <x:v>Scope note: the model is a lender-style cash flow and debt schedule, not a full three-statement forecast. FY25A revenue and EBITDA are public. Opening cash, post-refinancing debt allocation, pricing, operating forecasts and covenant terms are independent illustrative assumptions. Lease-adjusted rating-agency leverage may be materially higher than the pre-IFRS 16 lender metrics shown here.</x:v>
      </x:c>
      <x:c r="F47" s="241" t="str">
        <x:v>Scope note: the model is a lender-style cash flow and debt schedule, not a full three-statement forecast. FY25A revenue and EBITDA are public. Opening cash, post-refinancing debt allocation, pricing, operating forecasts and covenant terms are independent illustrative assumptions. Lease-adjusted rating-agency leverage may be materially higher than the pre-IFRS 16 lender metrics shown here.</x:v>
      </x:c>
      <x:c r="G47" s="241" t="str">
        <x:v>Scope note: the model is a lender-style cash flow and debt schedule, not a full three-statement forecast. FY25A revenue and EBITDA are public. Opening cash, post-refinancing debt allocation, pricing, operating forecasts and covenant terms are independent illustrative assumptions. Lease-adjusted rating-agency leverage may be materially higher than the pre-IFRS 16 lender metrics shown here.</x:v>
      </x:c>
      <x:c r="H47" s="241" t="str">
        <x:v>Scope note: the model is a lender-style cash flow and debt schedule, not a full three-statement forecast. FY25A revenue and EBITDA are public. Opening cash, post-refinancing debt allocation, pricing, operating forecasts and covenant terms are independent illustrative assumptions. Lease-adjusted rating-agency leverage may be materially higher than the pre-IFRS 16 lender metrics shown here.</x:v>
      </x:c>
      <x:c r="I47" s="235"/>
      <x:c r="J47" s="235"/>
      <x:c r="K47" s="235"/>
      <x:c r="L47" s="235"/>
      <x:c r="M47" s="235"/>
      <x:c r="N47" s="235"/>
      <x:c r="O47" s="235"/>
      <x:c r="P47" s="235"/>
      <x:c r="Q47" s="235"/>
    </x:row>
    <x:row r="48">
      <x:c r="A48" s="241" t="str">
        <x:v>Scope note: the model is a lender-style cash flow and debt schedule, not a full three-statement forecast. FY25A revenue and EBITDA are public. Opening cash, post-refinancing debt allocation, pricing, operating forecasts and covenant terms are independent illustrative assumptions. Lease-adjusted rating-agency leverage may be materially higher than the pre-IFRS 16 lender metrics shown here.</x:v>
      </x:c>
      <x:c r="B48" s="241" t="str">
        <x:v>Scope note: the model is a lender-style cash flow and debt schedule, not a full three-statement forecast. FY25A revenue and EBITDA are public. Opening cash, post-refinancing debt allocation, pricing, operating forecasts and covenant terms are independent illustrative assumptions. Lease-adjusted rating-agency leverage may be materially higher than the pre-IFRS 16 lender metrics shown here.</x:v>
      </x:c>
      <x:c r="C48" s="241" t="str">
        <x:v>Scope note: the model is a lender-style cash flow and debt schedule, not a full three-statement forecast. FY25A revenue and EBITDA are public. Opening cash, post-refinancing debt allocation, pricing, operating forecasts and covenant terms are independent illustrative assumptions. Lease-adjusted rating-agency leverage may be materially higher than the pre-IFRS 16 lender metrics shown here.</x:v>
      </x:c>
      <x:c r="D48" s="241" t="str">
        <x:v>Scope note: the model is a lender-style cash flow and debt schedule, not a full three-statement forecast. FY25A revenue and EBITDA are public. Opening cash, post-refinancing debt allocation, pricing, operating forecasts and covenant terms are independent illustrative assumptions. Lease-adjusted rating-agency leverage may be materially higher than the pre-IFRS 16 lender metrics shown here.</x:v>
      </x:c>
      <x:c r="E48" s="241" t="str">
        <x:v>Scope note: the model is a lender-style cash flow and debt schedule, not a full three-statement forecast. FY25A revenue and EBITDA are public. Opening cash, post-refinancing debt allocation, pricing, operating forecasts and covenant terms are independent illustrative assumptions. Lease-adjusted rating-agency leverage may be materially higher than the pre-IFRS 16 lender metrics shown here.</x:v>
      </x:c>
      <x:c r="F48" s="241" t="str">
        <x:v>Scope note: the model is a lender-style cash flow and debt schedule, not a full three-statement forecast. FY25A revenue and EBITDA are public. Opening cash, post-refinancing debt allocation, pricing, operating forecasts and covenant terms are independent illustrative assumptions. Lease-adjusted rating-agency leverage may be materially higher than the pre-IFRS 16 lender metrics shown here.</x:v>
      </x:c>
      <x:c r="G48" s="241" t="str">
        <x:v>Scope note: the model is a lender-style cash flow and debt schedule, not a full three-statement forecast. FY25A revenue and EBITDA are public. Opening cash, post-refinancing debt allocation, pricing, operating forecasts and covenant terms are independent illustrative assumptions. Lease-adjusted rating-agency leverage may be materially higher than the pre-IFRS 16 lender metrics shown here.</x:v>
      </x:c>
      <x:c r="H48" s="241" t="str">
        <x:v>Scope note: the model is a lender-style cash flow and debt schedule, not a full three-statement forecast. FY25A revenue and EBITDA are public. Opening cash, post-refinancing debt allocation, pricing, operating forecasts and covenant terms are independent illustrative assumptions. Lease-adjusted rating-agency leverage may be materially higher than the pre-IFRS 16 lender metrics shown here.</x:v>
      </x:c>
      <x:c r="I48" s="235"/>
      <x:c r="J48" s="235"/>
      <x:c r="K48" s="235"/>
      <x:c r="L48" s="235"/>
      <x:c r="M48" s="235"/>
      <x:c r="N48" s="235"/>
      <x:c r="O48" s="235"/>
      <x:c r="P48" s="235"/>
      <x:c r="Q48" s="235"/>
    </x:row>
    <x:row r="49">
      <x:c r="A49" s="235"/>
      <x:c r="B49" s="235"/>
      <x:c r="C49" s="235"/>
      <x:c r="D49" s="235"/>
      <x:c r="E49" s="235"/>
      <x:c r="F49" s="235"/>
      <x:c r="G49" s="235"/>
      <x:c r="H49" s="235"/>
      <x:c r="I49" s="235"/>
      <x:c r="J49" s="235"/>
      <x:c r="K49" s="235"/>
      <x:c r="L49" s="235"/>
      <x:c r="M49" s="235"/>
      <x:c r="N49" s="235"/>
      <x:c r="O49" s="235"/>
      <x:c r="P49" s="235"/>
      <x:c r="Q49" s="235"/>
    </x:row>
    <x:row r="50">
      <x:c r="A50" s="235"/>
      <x:c r="B50" s="235"/>
      <x:c r="C50" s="235"/>
      <x:c r="D50" s="235"/>
      <x:c r="E50" s="235"/>
      <x:c r="F50" s="235"/>
      <x:c r="G50" s="235"/>
      <x:c r="H50" s="235"/>
      <x:c r="I50" s="235"/>
      <x:c r="J50" s="235"/>
      <x:c r="K50" s="235"/>
      <x:c r="L50" s="235"/>
      <x:c r="M50" s="235"/>
      <x:c r="N50" s="235"/>
      <x:c r="O50" s="235"/>
      <x:c r="P50" s="235"/>
      <x:c r="Q50" s="235"/>
    </x:row>
    <x:row r="51">
      <x:c r="A51" s="235"/>
      <x:c r="B51" s="235"/>
      <x:c r="C51" s="235"/>
      <x:c r="D51" s="235"/>
      <x:c r="E51" s="235"/>
      <x:c r="F51" s="235"/>
      <x:c r="G51" s="235"/>
      <x:c r="H51" s="235"/>
      <x:c r="I51" s="235"/>
      <x:c r="J51" s="235"/>
      <x:c r="K51" s="235"/>
      <x:c r="L51" s="235"/>
      <x:c r="M51" s="235"/>
      <x:c r="N51" s="235"/>
      <x:c r="O51" s="235"/>
      <x:c r="P51" s="235"/>
      <x:c r="Q51" s="235"/>
    </x:row>
    <x:row r="52">
      <x:c r="A52" s="235"/>
      <x:c r="B52" s="235"/>
      <x:c r="C52" s="235"/>
      <x:c r="D52" s="235"/>
      <x:c r="E52" s="235"/>
      <x:c r="F52" s="235"/>
      <x:c r="G52" s="235"/>
      <x:c r="H52" s="235"/>
      <x:c r="I52" s="235"/>
      <x:c r="J52" s="235"/>
      <x:c r="K52" s="235"/>
      <x:c r="L52" s="235"/>
      <x:c r="M52" s="235"/>
      <x:c r="N52" s="235"/>
      <x:c r="O52" s="235"/>
      <x:c r="P52" s="235"/>
      <x:c r="Q52" s="235"/>
    </x:row>
    <x:row r="53">
      <x:c r="A53" s="235"/>
      <x:c r="B53" s="235"/>
      <x:c r="C53" s="235"/>
      <x:c r="D53" s="235"/>
      <x:c r="E53" s="235"/>
      <x:c r="F53" s="235"/>
      <x:c r="G53" s="235"/>
      <x:c r="H53" s="235"/>
      <x:c r="I53" s="235"/>
      <x:c r="J53" s="235"/>
      <x:c r="K53" s="235"/>
      <x:c r="L53" s="235"/>
      <x:c r="M53" s="235"/>
      <x:c r="N53" s="235"/>
      <x:c r="O53" s="235"/>
      <x:c r="P53" s="235"/>
      <x:c r="Q53" s="235"/>
    </x:row>
    <x:row r="54">
      <x:c r="A54" s="235"/>
      <x:c r="B54" s="235"/>
      <x:c r="C54" s="235"/>
      <x:c r="D54" s="235"/>
      <x:c r="E54" s="235"/>
      <x:c r="F54" s="235"/>
      <x:c r="G54" s="235"/>
      <x:c r="H54" s="235"/>
      <x:c r="I54" s="235"/>
      <x:c r="J54" s="235"/>
      <x:c r="K54" s="235"/>
      <x:c r="L54" s="235"/>
      <x:c r="M54" s="235"/>
      <x:c r="N54" s="235"/>
      <x:c r="O54" s="235"/>
      <x:c r="P54" s="235"/>
      <x:c r="Q54" s="235"/>
    </x:row>
    <x:row r="55">
      <x:c r="A55" s="235"/>
      <x:c r="B55" s="235"/>
      <x:c r="C55" s="235"/>
      <x:c r="D55" s="235"/>
      <x:c r="E55" s="235"/>
      <x:c r="F55" s="235"/>
      <x:c r="G55" s="235"/>
      <x:c r="H55" s="235"/>
      <x:c r="I55" s="235"/>
      <x:c r="J55" s="235"/>
      <x:c r="K55" s="235"/>
      <x:c r="L55" s="235"/>
      <x:c r="M55" s="235"/>
      <x:c r="N55" s="235"/>
      <x:c r="O55" s="235"/>
      <x:c r="P55" s="235"/>
      <x:c r="Q55" s="235"/>
    </x:row>
    <x:row r="56">
      <x:c r="A56" s="235"/>
      <x:c r="B56" s="235"/>
      <x:c r="C56" s="235"/>
      <x:c r="D56" s="235"/>
      <x:c r="E56" s="235"/>
      <x:c r="F56" s="235"/>
      <x:c r="G56" s="235"/>
      <x:c r="H56" s="235"/>
      <x:c r="I56" s="235"/>
      <x:c r="J56" s="235"/>
      <x:c r="K56" s="235"/>
      <x:c r="L56" s="235"/>
      <x:c r="M56" s="235"/>
      <x:c r="N56" s="235"/>
      <x:c r="O56" s="235"/>
      <x:c r="P56" s="235"/>
      <x:c r="Q56" s="235"/>
    </x:row>
    <x:row r="57">
      <x:c r="A57" s="235"/>
      <x:c r="B57" s="235"/>
      <x:c r="C57" s="235"/>
      <x:c r="D57" s="235"/>
      <x:c r="E57" s="235"/>
      <x:c r="F57" s="235"/>
      <x:c r="G57" s="235"/>
      <x:c r="H57" s="235"/>
      <x:c r="I57" s="235"/>
      <x:c r="J57" s="235"/>
      <x:c r="K57" s="235"/>
      <x:c r="L57" s="235"/>
      <x:c r="M57" s="235"/>
      <x:c r="N57" s="235"/>
      <x:c r="O57" s="235"/>
      <x:c r="P57" s="235"/>
      <x:c r="Q57" s="235"/>
    </x:row>
    <x:row r="58">
      <x:c r="A58" s="235"/>
      <x:c r="B58" s="235"/>
      <x:c r="C58" s="235"/>
      <x:c r="D58" s="235"/>
      <x:c r="E58" s="235"/>
      <x:c r="F58" s="235"/>
      <x:c r="G58" s="235"/>
      <x:c r="H58" s="235"/>
      <x:c r="I58" s="235"/>
      <x:c r="J58" s="235"/>
      <x:c r="K58" s="235"/>
      <x:c r="L58" s="235"/>
      <x:c r="M58" s="235"/>
      <x:c r="N58" s="235"/>
      <x:c r="O58" s="235"/>
      <x:c r="P58" s="235"/>
      <x:c r="Q58" s="235"/>
    </x:row>
    <x:row r="59">
      <x:c r="A59" s="235"/>
      <x:c r="B59" s="235"/>
      <x:c r="C59" s="235"/>
      <x:c r="D59" s="235"/>
      <x:c r="E59" s="235"/>
      <x:c r="F59" s="235"/>
      <x:c r="G59" s="235"/>
      <x:c r="H59" s="235"/>
      <x:c r="I59" s="235"/>
      <x:c r="J59" s="235"/>
      <x:c r="K59" s="235"/>
      <x:c r="L59" s="235"/>
      <x:c r="M59" s="235"/>
      <x:c r="N59" s="235"/>
      <x:c r="O59" s="235"/>
      <x:c r="P59" s="235"/>
      <x:c r="Q59" s="235"/>
    </x:row>
    <x:row r="60">
      <x:c r="A60" s="235"/>
      <x:c r="B60" s="235"/>
      <x:c r="C60" s="235"/>
      <x:c r="D60" s="235"/>
      <x:c r="E60" s="235"/>
      <x:c r="F60" s="235"/>
      <x:c r="G60" s="235"/>
      <x:c r="H60" s="235"/>
      <x:c r="I60" s="235"/>
      <x:c r="J60" s="235"/>
      <x:c r="K60" s="235"/>
      <x:c r="L60" s="235"/>
      <x:c r="M60" s="235"/>
      <x:c r="N60" s="235"/>
      <x:c r="O60" s="235"/>
      <x:c r="P60" s="235"/>
      <x:c r="Q60" s="235"/>
    </x:row>
  </x:sheetData>
  <x:mergeCells>
    <x:mergeCell ref="A1:H1"/>
    <x:mergeCell ref="A2:H2"/>
    <x:mergeCell ref="A4:H4"/>
    <x:mergeCell ref="A25:H25"/>
    <x:mergeCell ref="A35:H35"/>
    <x:mergeCell ref="A45:H48"/>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42" hidden="0" customWidth="1"/>
    <x:col min="2" max="2" width="14" hidden="0" customWidth="1"/>
    <x:col min="3" max="3" width="14" hidden="0" customWidth="1"/>
    <x:col min="4" max="4" width="14" hidden="0" customWidth="1"/>
    <x:col min="5" max="5" width="12" hidden="0" customWidth="1"/>
    <x:col min="6" max="6" width="12" hidden="0" customWidth="1"/>
    <x:col min="7" max="7" width="12" hidden="0" customWidth="1"/>
    <x:col min="8" max="8" width="12" hidden="0" customWidth="1"/>
  </x:cols>
  <x:sheetData>
    <x:row r="1" ht="31" customHeight="1">
      <x:c r="A1" s="5" t="str">
        <x:v>Morrisons | Historical Credit Profile</x:v>
      </x:c>
      <x:c r="B1" s="5" t="str">
        <x:v>Morrisons | Historical Credit Profile</x:v>
      </x:c>
      <x:c r="C1" s="5" t="str">
        <x:v>Morrisons | Historical Credit Profile</x:v>
      </x:c>
      <x:c r="D1" s="5" t="str">
        <x:v>Morrisons | Historical Credit Profile</x:v>
      </x:c>
      <x:c r="E1" s="5" t="str">
        <x:v>Morrisons | Historical Credit Profile</x:v>
      </x:c>
      <x:c r="F1" s="5" t="str">
        <x:v>Morrisons | Historical Credit Profile</x:v>
      </x:c>
      <x:c r="G1" s="5" t="str">
        <x:v>Morrisons | Historical Credit Profile</x:v>
      </x:c>
      <x:c r="H1" s="5" t="str">
        <x:v>Morrisons | Historical Credit Profile</x:v>
      </x:c>
      <x:c r="I1" s="233"/>
      <x:c r="J1" s="233"/>
      <x:c r="K1" s="233"/>
      <x:c r="L1" s="233"/>
      <x:c r="M1" s="233"/>
      <x:c r="N1" s="233"/>
      <x:c r="O1" s="233"/>
      <x:c r="P1" s="233"/>
      <x:c r="Q1" s="233"/>
    </x:row>
    <x:row r="2" ht="24" customHeight="1">
      <x:c r="A2" s="234" t="str">
        <x:v>Public information from Market Bidco accounts and Morrisons trading updates. £m unless stated.</x:v>
      </x:c>
      <x:c r="B2" s="234" t="str">
        <x:v>Public information from Market Bidco accounts and Morrisons trading updates. £m unless stated.</x:v>
      </x:c>
      <x:c r="C2" s="234" t="str">
        <x:v>Public information from Market Bidco accounts and Morrisons trading updates. £m unless stated.</x:v>
      </x:c>
      <x:c r="D2" s="234" t="str">
        <x:v>Public information from Market Bidco accounts and Morrisons trading updates. £m unless stated.</x:v>
      </x:c>
      <x:c r="E2" s="234" t="str">
        <x:v>Public information from Market Bidco accounts and Morrisons trading updates. £m unless stated.</x:v>
      </x:c>
      <x:c r="F2" s="234" t="str">
        <x:v>Public information from Market Bidco accounts and Morrisons trading updates. £m unless stated.</x:v>
      </x:c>
      <x:c r="G2" s="234" t="str">
        <x:v>Public information from Market Bidco accounts and Morrisons trading updates. £m unless stated.</x:v>
      </x:c>
      <x:c r="H2" s="234" t="str">
        <x:v>Public information from Market Bidco accounts and Morrisons trading updates. £m unless stated.</x:v>
      </x:c>
      <x:c r="I2" s="235"/>
      <x:c r="J2" s="235"/>
      <x:c r="K2" s="235"/>
      <x:c r="L2" s="235"/>
      <x:c r="M2" s="235"/>
      <x:c r="N2" s="235"/>
      <x:c r="O2" s="235"/>
      <x:c r="P2" s="235"/>
      <x:c r="Q2" s="235"/>
    </x:row>
    <x:row r="3">
      <x:c r="A3" s="235"/>
      <x:c r="B3" s="235"/>
      <x:c r="C3" s="235"/>
      <x:c r="D3" s="235"/>
      <x:c r="E3" s="235"/>
      <x:c r="F3" s="235"/>
      <x:c r="G3" s="235"/>
      <x:c r="H3" s="235"/>
      <x:c r="I3" s="235"/>
      <x:c r="J3" s="235"/>
      <x:c r="K3" s="235"/>
      <x:c r="L3" s="235"/>
      <x:c r="M3" s="235"/>
      <x:c r="N3" s="235"/>
      <x:c r="O3" s="235"/>
      <x:c r="P3" s="235"/>
      <x:c r="Q3" s="235"/>
    </x:row>
    <x:row r="4">
      <x:c r="A4" s="11" t="str">
        <x:v>Operating &amp; Cash Flow History</x:v>
      </x:c>
      <x:c r="B4" s="11" t="str">
        <x:v>Operating &amp; Cash Flow History</x:v>
      </x:c>
      <x:c r="C4" s="11" t="str">
        <x:v>Operating &amp; Cash Flow History</x:v>
      </x:c>
      <x:c r="D4" s="11" t="str">
        <x:v>Operating &amp; Cash Flow History</x:v>
      </x:c>
      <x:c r="E4" s="11" t="str">
        <x:v>Operating &amp; Cash Flow History</x:v>
      </x:c>
      <x:c r="F4" s="235"/>
      <x:c r="G4" s="235"/>
      <x:c r="H4" s="235"/>
      <x:c r="I4" s="235"/>
      <x:c r="J4" s="235"/>
      <x:c r="K4" s="235"/>
      <x:c r="L4" s="235"/>
      <x:c r="M4" s="235"/>
      <x:c r="N4" s="235"/>
      <x:c r="O4" s="235"/>
      <x:c r="P4" s="235"/>
      <x:c r="Q4" s="235"/>
    </x:row>
    <x:row r="5">
      <x:c r="A5" s="240" t="str">
        <x:v>Metric</x:v>
      </x:c>
      <x:c r="B5" s="240" t="str">
        <x:v>2023A</x:v>
      </x:c>
      <x:c r="C5" s="240" t="str">
        <x:v>2024A</x:v>
      </x:c>
      <x:c r="D5" s="240" t="str">
        <x:v>2025A</x:v>
      </x:c>
      <x:c r="E5" s="235"/>
      <x:c r="F5" s="235"/>
      <x:c r="G5" s="235"/>
      <x:c r="H5" s="235"/>
      <x:c r="I5" s="235"/>
      <x:c r="J5" s="235"/>
      <x:c r="K5" s="235"/>
      <x:c r="L5" s="235"/>
      <x:c r="M5" s="235"/>
      <x:c r="N5" s="235"/>
      <x:c r="O5" s="235"/>
      <x:c r="P5" s="235"/>
      <x:c r="Q5" s="235"/>
    </x:row>
    <x:row r="6">
      <x:c r="A6" s="235" t="str">
        <x:v>Revenue ex-fuel / continuing revenue</x:v>
      </x:c>
      <x:c r="B6" s="242" t="n">
        <x:v>14885</x:v>
      </x:c>
      <x:c r="C6" s="242" t="n">
        <x:v>15300</x:v>
      </x:c>
      <x:c r="D6" s="242" t="n">
        <x:v>15800</x:v>
      </x:c>
      <x:c r="E6" s="235"/>
      <x:c r="F6" s="235"/>
      <x:c r="G6" s="235"/>
      <x:c r="H6" s="235"/>
      <x:c r="I6" s="235"/>
      <x:c r="J6" s="235"/>
      <x:c r="K6" s="235"/>
      <x:c r="L6" s="235"/>
      <x:c r="M6" s="235"/>
      <x:c r="N6" s="235"/>
      <x:c r="O6" s="235"/>
      <x:c r="P6" s="235"/>
      <x:c r="Q6" s="235"/>
    </x:row>
    <x:row r="7">
      <x:c r="A7" s="235" t="str">
        <x:v>Revenue growth</x:v>
      </x:c>
      <x:c r="B7" s="243"/>
      <x:c r="C7" s="243" t="n">
        <x:v>0.0279</x:v>
      </x:c>
      <x:c r="D7" s="243" t="n">
        <x:v>0.0327</x:v>
      </x:c>
      <x:c r="E7" s="235"/>
      <x:c r="F7" s="235"/>
      <x:c r="G7" s="235"/>
      <x:c r="H7" s="235"/>
      <x:c r="I7" s="235"/>
      <x:c r="J7" s="235"/>
      <x:c r="K7" s="235"/>
      <x:c r="L7" s="235"/>
      <x:c r="M7" s="235"/>
      <x:c r="N7" s="235"/>
      <x:c r="O7" s="235"/>
      <x:c r="P7" s="235"/>
      <x:c r="Q7" s="235"/>
    </x:row>
    <x:row r="8">
      <x:c r="A8" s="235" t="str">
        <x:v>Underlying EBITDA</x:v>
      </x:c>
      <x:c r="B8" s="242" t="n">
        <x:v>751</x:v>
      </x:c>
      <x:c r="C8" s="242" t="n">
        <x:v>835</x:v>
      </x:c>
      <x:c r="D8" s="242" t="n">
        <x:v>835</x:v>
      </x:c>
      <x:c r="E8" s="235"/>
      <x:c r="F8" s="235"/>
      <x:c r="G8" s="235"/>
      <x:c r="H8" s="235"/>
      <x:c r="I8" s="235"/>
      <x:c r="J8" s="235"/>
      <x:c r="K8" s="235"/>
      <x:c r="L8" s="235"/>
      <x:c r="M8" s="235"/>
      <x:c r="N8" s="235"/>
      <x:c r="O8" s="235"/>
      <x:c r="P8" s="235"/>
      <x:c r="Q8" s="235"/>
    </x:row>
    <x:row r="9">
      <x:c r="A9" s="235" t="str">
        <x:v>EBITDA margin</x:v>
      </x:c>
      <x:c r="B9" s="243" t="n">
        <x:v>0.0505</x:v>
      </x:c>
      <x:c r="C9" s="243" t="n">
        <x:v>0.0546</x:v>
      </x:c>
      <x:c r="D9" s="243" t="n">
        <x:v>0.0528</x:v>
      </x:c>
      <x:c r="E9" s="235"/>
      <x:c r="F9" s="235"/>
      <x:c r="G9" s="235"/>
      <x:c r="H9" s="235"/>
      <x:c r="I9" s="235"/>
      <x:c r="J9" s="235"/>
      <x:c r="K9" s="235"/>
      <x:c r="L9" s="235"/>
      <x:c r="M9" s="235"/>
      <x:c r="N9" s="235"/>
      <x:c r="O9" s="235"/>
      <x:c r="P9" s="235"/>
      <x:c r="Q9" s="235"/>
    </x:row>
    <x:row r="10">
      <x:c r="A10" s="235" t="str">
        <x:v>Cash generated from operations</x:v>
      </x:c>
      <x:c r="B10" s="244" t="n">
        <x:v>948</x:v>
      </x:c>
      <x:c r="C10" s="244" t="n">
        <x:v>936</x:v>
      </x:c>
      <x:c r="D10" s="244"/>
      <x:c r="E10" s="235"/>
      <x:c r="F10" s="235"/>
      <x:c r="G10" s="235"/>
      <x:c r="H10" s="235"/>
      <x:c r="I10" s="235"/>
      <x:c r="J10" s="235"/>
      <x:c r="K10" s="235"/>
      <x:c r="L10" s="235"/>
      <x:c r="M10" s="235"/>
      <x:c r="N10" s="235"/>
      <x:c r="O10" s="235"/>
      <x:c r="P10" s="235"/>
      <x:c r="Q10" s="235"/>
    </x:row>
    <x:row r="11">
      <x:c r="A11" s="235" t="str">
        <x:v>Interest paid</x:v>
      </x:c>
      <x:c r="B11" s="244" t="n">
        <x:v>-488</x:v>
      </x:c>
      <x:c r="C11" s="244" t="n">
        <x:v>-511</x:v>
      </x:c>
      <x:c r="D11" s="244"/>
      <x:c r="E11" s="235"/>
      <x:c r="F11" s="235"/>
      <x:c r="G11" s="235"/>
      <x:c r="H11" s="235"/>
      <x:c r="I11" s="235"/>
      <x:c r="J11" s="235"/>
      <x:c r="K11" s="235"/>
      <x:c r="L11" s="235"/>
      <x:c r="M11" s="235"/>
      <x:c r="N11" s="235"/>
      <x:c r="O11" s="235"/>
      <x:c r="P11" s="235"/>
      <x:c r="Q11" s="235"/>
    </x:row>
    <x:row r="12">
      <x:c r="A12" s="235" t="str">
        <x:v>Net cash from operating activities</x:v>
      </x:c>
      <x:c r="B12" s="244" t="n">
        <x:v>478</x:v>
      </x:c>
      <x:c r="C12" s="244" t="n">
        <x:v>425</x:v>
      </x:c>
      <x:c r="D12" s="244"/>
      <x:c r="E12" s="235"/>
      <x:c r="F12" s="235"/>
      <x:c r="G12" s="235"/>
      <x:c r="H12" s="235"/>
      <x:c r="I12" s="235"/>
      <x:c r="J12" s="235"/>
      <x:c r="K12" s="235"/>
      <x:c r="L12" s="235"/>
      <x:c r="M12" s="235"/>
      <x:c r="N12" s="235"/>
      <x:c r="O12" s="235"/>
      <x:c r="P12" s="235"/>
      <x:c r="Q12" s="235"/>
    </x:row>
    <x:row r="13">
      <x:c r="A13" s="235" t="str">
        <x:v>Cash capital expenditure</x:v>
      </x:c>
      <x:c r="B13" s="244" t="n">
        <x:v>-408</x:v>
      </x:c>
      <x:c r="C13" s="244" t="n">
        <x:v>-326</x:v>
      </x:c>
      <x:c r="D13" s="244"/>
      <x:c r="E13" s="235"/>
      <x:c r="F13" s="235"/>
      <x:c r="G13" s="235"/>
      <x:c r="H13" s="235"/>
      <x:c r="I13" s="235"/>
      <x:c r="J13" s="235"/>
      <x:c r="K13" s="235"/>
      <x:c r="L13" s="235"/>
      <x:c r="M13" s="235"/>
      <x:c r="N13" s="235"/>
      <x:c r="O13" s="235"/>
      <x:c r="P13" s="235"/>
      <x:c r="Q13" s="235"/>
    </x:row>
    <x:row r="14">
      <x:c r="A14" s="235" t="str">
        <x:v>Lease principal paid</x:v>
      </x:c>
      <x:c r="B14" s="244" t="n">
        <x:v>-97</x:v>
      </x:c>
      <x:c r="C14" s="244" t="n">
        <x:v>-113</x:v>
      </x:c>
      <x:c r="D14" s="244"/>
      <x:c r="E14" s="235"/>
      <x:c r="F14" s="235"/>
      <x:c r="G14" s="235"/>
      <x:c r="H14" s="235"/>
      <x:c r="I14" s="235"/>
      <x:c r="J14" s="235"/>
      <x:c r="K14" s="235"/>
      <x:c r="L14" s="235"/>
      <x:c r="M14" s="235"/>
      <x:c r="N14" s="235"/>
      <x:c r="O14" s="235"/>
      <x:c r="P14" s="235"/>
      <x:c r="Q14" s="235"/>
    </x:row>
    <x:row r="15">
      <x:c r="A15" s="235" t="str">
        <x:v>Core FCF before disposals / debt paydown</x:v>
      </x:c>
      <x:c r="B15" s="244" t="n">
        <x:v>-27</x:v>
      </x:c>
      <x:c r="C15" s="244" t="n">
        <x:v>-14</x:v>
      </x:c>
      <x:c r="D15" s="244"/>
      <x:c r="E15" s="235"/>
      <x:c r="F15" s="235"/>
      <x:c r="G15" s="235"/>
      <x:c r="H15" s="235"/>
      <x:c r="I15" s="235"/>
      <x:c r="J15" s="235"/>
      <x:c r="K15" s="235"/>
      <x:c r="L15" s="235"/>
      <x:c r="M15" s="235"/>
      <x:c r="N15" s="235"/>
      <x:c r="O15" s="235"/>
      <x:c r="P15" s="235"/>
      <x:c r="Q15" s="235"/>
    </x:row>
    <x:row r="16">
      <x:c r="A16" s="235" t="str">
        <x:v>Underlying EBITDA / interest paid</x:v>
      </x:c>
      <x:c r="B16" s="245" t="n">
        <x:v>1.54</x:v>
      </x:c>
      <x:c r="C16" s="245" t="n">
        <x:v>1.63</x:v>
      </x:c>
      <x:c r="D16" s="245"/>
      <x:c r="E16" s="235"/>
      <x:c r="F16" s="235"/>
      <x:c r="G16" s="235"/>
      <x:c r="H16" s="235"/>
      <x:c r="I16" s="235"/>
      <x:c r="J16" s="235"/>
      <x:c r="K16" s="235"/>
      <x:c r="L16" s="235"/>
      <x:c r="M16" s="235"/>
      <x:c r="N16" s="235"/>
      <x:c r="O16" s="235"/>
      <x:c r="P16" s="235"/>
      <x:c r="Q16" s="235"/>
    </x:row>
    <x:row r="17">
      <x:c r="A17" s="235"/>
      <x:c r="B17" s="235"/>
      <x:c r="C17" s="235"/>
      <x:c r="D17" s="235"/>
      <x:c r="E17" s="235"/>
      <x:c r="F17" s="235"/>
      <x:c r="G17" s="235"/>
      <x:c r="H17" s="235"/>
      <x:c r="I17" s="235"/>
      <x:c r="J17" s="235"/>
      <x:c r="K17" s="235"/>
      <x:c r="L17" s="235"/>
      <x:c r="M17" s="235"/>
      <x:c r="N17" s="235"/>
      <x:c r="O17" s="235"/>
      <x:c r="P17" s="235"/>
      <x:c r="Q17" s="235"/>
    </x:row>
    <x:row r="18">
      <x:c r="A18" s="246" t="str">
        <x:v>Interpretation: FY24A showed EBITDA improvement and substantial deleveraging funded by the forecourt disposal, but recurring cash conversion remained thin after interest, capex and lease principal. FY25A preserved £835m EBITDA despite c.£200m annualised budget-related cost headwinds, supported by £233m of in-year savings. This operating stability is the core credit strength; refinancing risk and limited FCF headroom remain the key constraints.</x:v>
      </x:c>
      <x:c r="B18" s="246" t="str">
        <x:v>Interpretation: FY24A showed EBITDA improvement and substantial deleveraging funded by the forecourt disposal, but recurring cash conversion remained thin after interest, capex and lease principal. FY25A preserved £835m EBITDA despite c.£200m annualised budget-related cost headwinds, supported by £233m of in-year savings. This operating stability is the core credit strength; refinancing risk and limited FCF headroom remain the key constraints.</x:v>
      </x:c>
      <x:c r="C18" s="246" t="str">
        <x:v>Interpretation: FY24A showed EBITDA improvement and substantial deleveraging funded by the forecourt disposal, but recurring cash conversion remained thin after interest, capex and lease principal. FY25A preserved £835m EBITDA despite c.£200m annualised budget-related cost headwinds, supported by £233m of in-year savings. This operating stability is the core credit strength; refinancing risk and limited FCF headroom remain the key constraints.</x:v>
      </x:c>
      <x:c r="D18" s="246" t="str">
        <x:v>Interpretation: FY24A showed EBITDA improvement and substantial deleveraging funded by the forecourt disposal, but recurring cash conversion remained thin after interest, capex and lease principal. FY25A preserved £835m EBITDA despite c.£200m annualised budget-related cost headwinds, supported by £233m of in-year savings. This operating stability is the core credit strength; refinancing risk and limited FCF headroom remain the key constraints.</x:v>
      </x:c>
      <x:c r="E18" s="246" t="str">
        <x:v>Interpretation: FY24A showed EBITDA improvement and substantial deleveraging funded by the forecourt disposal, but recurring cash conversion remained thin after interest, capex and lease principal. FY25A preserved £835m EBITDA despite c.£200m annualised budget-related cost headwinds, supported by £233m of in-year savings. This operating stability is the core credit strength; refinancing risk and limited FCF headroom remain the key constraints.</x:v>
      </x:c>
      <x:c r="F18" s="246" t="str">
        <x:v>Interpretation: FY24A showed EBITDA improvement and substantial deleveraging funded by the forecourt disposal, but recurring cash conversion remained thin after interest, capex and lease principal. FY25A preserved £835m EBITDA despite c.£200m annualised budget-related cost headwinds, supported by £233m of in-year savings. This operating stability is the core credit strength; refinancing risk and limited FCF headroom remain the key constraints.</x:v>
      </x:c>
      <x:c r="G18" s="246" t="str">
        <x:v>Interpretation: FY24A showed EBITDA improvement and substantial deleveraging funded by the forecourt disposal, but recurring cash conversion remained thin after interest, capex and lease principal. FY25A preserved £835m EBITDA despite c.£200m annualised budget-related cost headwinds, supported by £233m of in-year savings. This operating stability is the core credit strength; refinancing risk and limited FCF headroom remain the key constraints.</x:v>
      </x:c>
      <x:c r="H18" s="246" t="str">
        <x:v>Interpretation: FY24A showed EBITDA improvement and substantial deleveraging funded by the forecourt disposal, but recurring cash conversion remained thin after interest, capex and lease principal. FY25A preserved £835m EBITDA despite c.£200m annualised budget-related cost headwinds, supported by £233m of in-year savings. This operating stability is the core credit strength; refinancing risk and limited FCF headroom remain the key constraints.</x:v>
      </x:c>
      <x:c r="I18" s="235"/>
      <x:c r="J18" s="235"/>
      <x:c r="K18" s="235"/>
      <x:c r="L18" s="235"/>
      <x:c r="M18" s="235"/>
      <x:c r="N18" s="235"/>
      <x:c r="O18" s="235"/>
      <x:c r="P18" s="235"/>
      <x:c r="Q18" s="235"/>
    </x:row>
    <x:row r="19">
      <x:c r="A19" s="246" t="str">
        <x:v>Interpretation: FY24A showed EBITDA improvement and substantial deleveraging funded by the forecourt disposal, but recurring cash conversion remained thin after interest, capex and lease principal. FY25A preserved £835m EBITDA despite c.£200m annualised budget-related cost headwinds, supported by £233m of in-year savings. This operating stability is the core credit strength; refinancing risk and limited FCF headroom remain the key constraints.</x:v>
      </x:c>
      <x:c r="B19" s="246" t="str">
        <x:v>Interpretation: FY24A showed EBITDA improvement and substantial deleveraging funded by the forecourt disposal, but recurring cash conversion remained thin after interest, capex and lease principal. FY25A preserved £835m EBITDA despite c.£200m annualised budget-related cost headwinds, supported by £233m of in-year savings. This operating stability is the core credit strength; refinancing risk and limited FCF headroom remain the key constraints.</x:v>
      </x:c>
      <x:c r="C19" s="246" t="str">
        <x:v>Interpretation: FY24A showed EBITDA improvement and substantial deleveraging funded by the forecourt disposal, but recurring cash conversion remained thin after interest, capex and lease principal. FY25A preserved £835m EBITDA despite c.£200m annualised budget-related cost headwinds, supported by £233m of in-year savings. This operating stability is the core credit strength; refinancing risk and limited FCF headroom remain the key constraints.</x:v>
      </x:c>
      <x:c r="D19" s="246" t="str">
        <x:v>Interpretation: FY24A showed EBITDA improvement and substantial deleveraging funded by the forecourt disposal, but recurring cash conversion remained thin after interest, capex and lease principal. FY25A preserved £835m EBITDA despite c.£200m annualised budget-related cost headwinds, supported by £233m of in-year savings. This operating stability is the core credit strength; refinancing risk and limited FCF headroom remain the key constraints.</x:v>
      </x:c>
      <x:c r="E19" s="246" t="str">
        <x:v>Interpretation: FY24A showed EBITDA improvement and substantial deleveraging funded by the forecourt disposal, but recurring cash conversion remained thin after interest, capex and lease principal. FY25A preserved £835m EBITDA despite c.£200m annualised budget-related cost headwinds, supported by £233m of in-year savings. This operating stability is the core credit strength; refinancing risk and limited FCF headroom remain the key constraints.</x:v>
      </x:c>
      <x:c r="F19" s="246" t="str">
        <x:v>Interpretation: FY24A showed EBITDA improvement and substantial deleveraging funded by the forecourt disposal, but recurring cash conversion remained thin after interest, capex and lease principal. FY25A preserved £835m EBITDA despite c.£200m annualised budget-related cost headwinds, supported by £233m of in-year savings. This operating stability is the core credit strength; refinancing risk and limited FCF headroom remain the key constraints.</x:v>
      </x:c>
      <x:c r="G19" s="246" t="str">
        <x:v>Interpretation: FY24A showed EBITDA improvement and substantial deleveraging funded by the forecourt disposal, but recurring cash conversion remained thin after interest, capex and lease principal. FY25A preserved £835m EBITDA despite c.£200m annualised budget-related cost headwinds, supported by £233m of in-year savings. This operating stability is the core credit strength; refinancing risk and limited FCF headroom remain the key constraints.</x:v>
      </x:c>
      <x:c r="H19" s="246" t="str">
        <x:v>Interpretation: FY24A showed EBITDA improvement and substantial deleveraging funded by the forecourt disposal, but recurring cash conversion remained thin after interest, capex and lease principal. FY25A preserved £835m EBITDA despite c.£200m annualised budget-related cost headwinds, supported by £233m of in-year savings. This operating stability is the core credit strength; refinancing risk and limited FCF headroom remain the key constraints.</x:v>
      </x:c>
      <x:c r="I19" s="235"/>
      <x:c r="J19" s="235"/>
      <x:c r="K19" s="235"/>
      <x:c r="L19" s="235"/>
      <x:c r="M19" s="235"/>
      <x:c r="N19" s="235"/>
      <x:c r="O19" s="235"/>
      <x:c r="P19" s="235"/>
      <x:c r="Q19" s="235"/>
    </x:row>
    <x:row r="20">
      <x:c r="A20" s="246" t="str">
        <x:v>Interpretation: FY24A showed EBITDA improvement and substantial deleveraging funded by the forecourt disposal, but recurring cash conversion remained thin after interest, capex and lease principal. FY25A preserved £835m EBITDA despite c.£200m annualised budget-related cost headwinds, supported by £233m of in-year savings. This operating stability is the core credit strength; refinancing risk and limited FCF headroom remain the key constraints.</x:v>
      </x:c>
      <x:c r="B20" s="246" t="str">
        <x:v>Interpretation: FY24A showed EBITDA improvement and substantial deleveraging funded by the forecourt disposal, but recurring cash conversion remained thin after interest, capex and lease principal. FY25A preserved £835m EBITDA despite c.£200m annualised budget-related cost headwinds, supported by £233m of in-year savings. This operating stability is the core credit strength; refinancing risk and limited FCF headroom remain the key constraints.</x:v>
      </x:c>
      <x:c r="C20" s="246" t="str">
        <x:v>Interpretation: FY24A showed EBITDA improvement and substantial deleveraging funded by the forecourt disposal, but recurring cash conversion remained thin after interest, capex and lease principal. FY25A preserved £835m EBITDA despite c.£200m annualised budget-related cost headwinds, supported by £233m of in-year savings. This operating stability is the core credit strength; refinancing risk and limited FCF headroom remain the key constraints.</x:v>
      </x:c>
      <x:c r="D20" s="246" t="str">
        <x:v>Interpretation: FY24A showed EBITDA improvement and substantial deleveraging funded by the forecourt disposal, but recurring cash conversion remained thin after interest, capex and lease principal. FY25A preserved £835m EBITDA despite c.£200m annualised budget-related cost headwinds, supported by £233m of in-year savings. This operating stability is the core credit strength; refinancing risk and limited FCF headroom remain the key constraints.</x:v>
      </x:c>
      <x:c r="E20" s="246" t="str">
        <x:v>Interpretation: FY24A showed EBITDA improvement and substantial deleveraging funded by the forecourt disposal, but recurring cash conversion remained thin after interest, capex and lease principal. FY25A preserved £835m EBITDA despite c.£200m annualised budget-related cost headwinds, supported by £233m of in-year savings. This operating stability is the core credit strength; refinancing risk and limited FCF headroom remain the key constraints.</x:v>
      </x:c>
      <x:c r="F20" s="246" t="str">
        <x:v>Interpretation: FY24A showed EBITDA improvement and substantial deleveraging funded by the forecourt disposal, but recurring cash conversion remained thin after interest, capex and lease principal. FY25A preserved £835m EBITDA despite c.£200m annualised budget-related cost headwinds, supported by £233m of in-year savings. This operating stability is the core credit strength; refinancing risk and limited FCF headroom remain the key constraints.</x:v>
      </x:c>
      <x:c r="G20" s="246" t="str">
        <x:v>Interpretation: FY24A showed EBITDA improvement and substantial deleveraging funded by the forecourt disposal, but recurring cash conversion remained thin after interest, capex and lease principal. FY25A preserved £835m EBITDA despite c.£200m annualised budget-related cost headwinds, supported by £233m of in-year savings. This operating stability is the core credit strength; refinancing risk and limited FCF headroom remain the key constraints.</x:v>
      </x:c>
      <x:c r="H20" s="246" t="str">
        <x:v>Interpretation: FY24A showed EBITDA improvement and substantial deleveraging funded by the forecourt disposal, but recurring cash conversion remained thin after interest, capex and lease principal. FY25A preserved £835m EBITDA despite c.£200m annualised budget-related cost headwinds, supported by £233m of in-year savings. This operating stability is the core credit strength; refinancing risk and limited FCF headroom remain the key constraints.</x:v>
      </x:c>
      <x:c r="I20" s="235"/>
      <x:c r="J20" s="235"/>
      <x:c r="K20" s="235"/>
      <x:c r="L20" s="235"/>
      <x:c r="M20" s="235"/>
      <x:c r="N20" s="235"/>
      <x:c r="O20" s="235"/>
      <x:c r="P20" s="235"/>
      <x:c r="Q20" s="235"/>
    </x:row>
    <x:row r="21">
      <x:c r="A21" s="246" t="str">
        <x:v>Interpretation: FY24A showed EBITDA improvement and substantial deleveraging funded by the forecourt disposal, but recurring cash conversion remained thin after interest, capex and lease principal. FY25A preserved £835m EBITDA despite c.£200m annualised budget-related cost headwinds, supported by £233m of in-year savings. This operating stability is the core credit strength; refinancing risk and limited FCF headroom remain the key constraints.</x:v>
      </x:c>
      <x:c r="B21" s="246" t="str">
        <x:v>Interpretation: FY24A showed EBITDA improvement and substantial deleveraging funded by the forecourt disposal, but recurring cash conversion remained thin after interest, capex and lease principal. FY25A preserved £835m EBITDA despite c.£200m annualised budget-related cost headwinds, supported by £233m of in-year savings. This operating stability is the core credit strength; refinancing risk and limited FCF headroom remain the key constraints.</x:v>
      </x:c>
      <x:c r="C21" s="246" t="str">
        <x:v>Interpretation: FY24A showed EBITDA improvement and substantial deleveraging funded by the forecourt disposal, but recurring cash conversion remained thin after interest, capex and lease principal. FY25A preserved £835m EBITDA despite c.£200m annualised budget-related cost headwinds, supported by £233m of in-year savings. This operating stability is the core credit strength; refinancing risk and limited FCF headroom remain the key constraints.</x:v>
      </x:c>
      <x:c r="D21" s="246" t="str">
        <x:v>Interpretation: FY24A showed EBITDA improvement and substantial deleveraging funded by the forecourt disposal, but recurring cash conversion remained thin after interest, capex and lease principal. FY25A preserved £835m EBITDA despite c.£200m annualised budget-related cost headwinds, supported by £233m of in-year savings. This operating stability is the core credit strength; refinancing risk and limited FCF headroom remain the key constraints.</x:v>
      </x:c>
      <x:c r="E21" s="246" t="str">
        <x:v>Interpretation: FY24A showed EBITDA improvement and substantial deleveraging funded by the forecourt disposal, but recurring cash conversion remained thin after interest, capex and lease principal. FY25A preserved £835m EBITDA despite c.£200m annualised budget-related cost headwinds, supported by £233m of in-year savings. This operating stability is the core credit strength; refinancing risk and limited FCF headroom remain the key constraints.</x:v>
      </x:c>
      <x:c r="F21" s="246" t="str">
        <x:v>Interpretation: FY24A showed EBITDA improvement and substantial deleveraging funded by the forecourt disposal, but recurring cash conversion remained thin after interest, capex and lease principal. FY25A preserved £835m EBITDA despite c.£200m annualised budget-related cost headwinds, supported by £233m of in-year savings. This operating stability is the core credit strength; refinancing risk and limited FCF headroom remain the key constraints.</x:v>
      </x:c>
      <x:c r="G21" s="246" t="str">
        <x:v>Interpretation: FY24A showed EBITDA improvement and substantial deleveraging funded by the forecourt disposal, but recurring cash conversion remained thin after interest, capex and lease principal. FY25A preserved £835m EBITDA despite c.£200m annualised budget-related cost headwinds, supported by £233m of in-year savings. This operating stability is the core credit strength; refinancing risk and limited FCF headroom remain the key constraints.</x:v>
      </x:c>
      <x:c r="H21" s="246" t="str">
        <x:v>Interpretation: FY24A showed EBITDA improvement and substantial deleveraging funded by the forecourt disposal, but recurring cash conversion remained thin after interest, capex and lease principal. FY25A preserved £835m EBITDA despite c.£200m annualised budget-related cost headwinds, supported by £233m of in-year savings. This operating stability is the core credit strength; refinancing risk and limited FCF headroom remain the key constraints.</x:v>
      </x:c>
      <x:c r="I21" s="235"/>
      <x:c r="J21" s="235"/>
      <x:c r="K21" s="235"/>
      <x:c r="L21" s="235"/>
      <x:c r="M21" s="235"/>
      <x:c r="N21" s="235"/>
      <x:c r="O21" s="235"/>
      <x:c r="P21" s="235"/>
      <x:c r="Q21" s="235"/>
    </x:row>
    <x:row r="22">
      <x:c r="A22" s="235"/>
      <x:c r="B22" s="235"/>
      <x:c r="C22" s="235"/>
      <x:c r="D22" s="235"/>
      <x:c r="E22" s="235"/>
      <x:c r="F22" s="235"/>
      <x:c r="G22" s="235"/>
      <x:c r="H22" s="235"/>
      <x:c r="I22" s="235"/>
      <x:c r="J22" s="235"/>
      <x:c r="K22" s="235"/>
      <x:c r="L22" s="235"/>
      <x:c r="M22" s="235"/>
      <x:c r="N22" s="235"/>
      <x:c r="O22" s="235"/>
      <x:c r="P22" s="235"/>
      <x:c r="Q22" s="235"/>
    </x:row>
    <x:row r="23">
      <x:c r="A23" s="235"/>
      <x:c r="B23" s="235"/>
      <x:c r="C23" s="235"/>
      <x:c r="D23" s="235"/>
      <x:c r="E23" s="235"/>
      <x:c r="F23" s="235"/>
      <x:c r="G23" s="235"/>
      <x:c r="H23" s="235"/>
      <x:c r="I23" s="235"/>
      <x:c r="J23" s="235"/>
      <x:c r="K23" s="235"/>
      <x:c r="L23" s="235"/>
      <x:c r="M23" s="235"/>
      <x:c r="N23" s="235"/>
      <x:c r="O23" s="235"/>
      <x:c r="P23" s="235"/>
      <x:c r="Q23" s="235"/>
    </x:row>
    <x:row r="24">
      <x:c r="A24" s="235"/>
      <x:c r="B24" s="235"/>
      <x:c r="C24" s="235"/>
      <x:c r="D24" s="235"/>
      <x:c r="E24" s="235"/>
      <x:c r="F24" s="235"/>
      <x:c r="G24" s="235"/>
      <x:c r="H24" s="235"/>
      <x:c r="I24" s="235"/>
      <x:c r="J24" s="235"/>
      <x:c r="K24" s="235"/>
      <x:c r="L24" s="235"/>
      <x:c r="M24" s="235"/>
      <x:c r="N24" s="235"/>
      <x:c r="O24" s="235"/>
      <x:c r="P24" s="235"/>
      <x:c r="Q24" s="235"/>
    </x:row>
    <x:row r="25">
      <x:c r="A25" s="235"/>
      <x:c r="B25" s="235"/>
      <x:c r="C25" s="235"/>
      <x:c r="D25" s="235"/>
      <x:c r="E25" s="235"/>
      <x:c r="F25" s="235"/>
      <x:c r="G25" s="235"/>
      <x:c r="H25" s="235"/>
      <x:c r="I25" s="235"/>
      <x:c r="J25" s="235"/>
      <x:c r="K25" s="235"/>
      <x:c r="L25" s="235"/>
      <x:c r="M25" s="235"/>
      <x:c r="N25" s="235"/>
      <x:c r="O25" s="235"/>
      <x:c r="P25" s="235"/>
      <x:c r="Q25" s="235"/>
    </x:row>
    <x:row r="26">
      <x:c r="A26" s="235"/>
      <x:c r="B26" s="235"/>
      <x:c r="C26" s="235"/>
      <x:c r="D26" s="235"/>
      <x:c r="E26" s="235"/>
      <x:c r="F26" s="235"/>
      <x:c r="G26" s="235"/>
      <x:c r="H26" s="235"/>
      <x:c r="I26" s="235"/>
      <x:c r="J26" s="235"/>
      <x:c r="K26" s="235"/>
      <x:c r="L26" s="235"/>
      <x:c r="M26" s="235"/>
      <x:c r="N26" s="235"/>
      <x:c r="O26" s="235"/>
      <x:c r="P26" s="235"/>
      <x:c r="Q26" s="235"/>
    </x:row>
    <x:row r="27">
      <x:c r="A27" s="235"/>
      <x:c r="B27" s="235"/>
      <x:c r="C27" s="235"/>
      <x:c r="D27" s="235"/>
      <x:c r="E27" s="235"/>
      <x:c r="F27" s="235"/>
      <x:c r="G27" s="235"/>
      <x:c r="H27" s="235"/>
      <x:c r="I27" s="235"/>
      <x:c r="J27" s="235"/>
      <x:c r="K27" s="235"/>
      <x:c r="L27" s="235"/>
      <x:c r="M27" s="235"/>
      <x:c r="N27" s="235"/>
      <x:c r="O27" s="235"/>
      <x:c r="P27" s="235"/>
      <x:c r="Q27" s="235"/>
    </x:row>
    <x:row r="28">
      <x:c r="A28" s="235"/>
      <x:c r="B28" s="235"/>
      <x:c r="C28" s="235"/>
      <x:c r="D28" s="235"/>
      <x:c r="E28" s="235"/>
      <x:c r="F28" s="235"/>
      <x:c r="G28" s="235"/>
      <x:c r="H28" s="235"/>
      <x:c r="I28" s="235"/>
      <x:c r="J28" s="235"/>
      <x:c r="K28" s="235"/>
      <x:c r="L28" s="235"/>
      <x:c r="M28" s="235"/>
      <x:c r="N28" s="235"/>
      <x:c r="O28" s="235"/>
      <x:c r="P28" s="235"/>
      <x:c r="Q28" s="235"/>
    </x:row>
    <x:row r="29">
      <x:c r="A29" s="235"/>
      <x:c r="B29" s="235"/>
      <x:c r="C29" s="235"/>
      <x:c r="D29" s="235"/>
      <x:c r="E29" s="235"/>
      <x:c r="F29" s="235"/>
      <x:c r="G29" s="235"/>
      <x:c r="H29" s="235"/>
      <x:c r="I29" s="235"/>
      <x:c r="J29" s="235"/>
      <x:c r="K29" s="235"/>
      <x:c r="L29" s="235"/>
      <x:c r="M29" s="235"/>
      <x:c r="N29" s="235"/>
      <x:c r="O29" s="235"/>
      <x:c r="P29" s="235"/>
      <x:c r="Q29" s="235"/>
    </x:row>
    <x:row r="30">
      <x:c r="A30" s="235"/>
      <x:c r="B30" s="235"/>
      <x:c r="C30" s="235"/>
      <x:c r="D30" s="235"/>
      <x:c r="E30" s="235"/>
      <x:c r="F30" s="235"/>
      <x:c r="G30" s="235"/>
      <x:c r="H30" s="235"/>
      <x:c r="I30" s="235"/>
      <x:c r="J30" s="235"/>
      <x:c r="K30" s="235"/>
      <x:c r="L30" s="235"/>
      <x:c r="M30" s="235"/>
      <x:c r="N30" s="235"/>
      <x:c r="O30" s="235"/>
      <x:c r="P30" s="235"/>
      <x:c r="Q30" s="235"/>
    </x:row>
    <x:row r="31">
      <x:c r="A31" s="235"/>
      <x:c r="B31" s="235"/>
      <x:c r="C31" s="235"/>
      <x:c r="D31" s="235"/>
      <x:c r="E31" s="235"/>
      <x:c r="F31" s="235"/>
      <x:c r="G31" s="235"/>
      <x:c r="H31" s="235"/>
      <x:c r="I31" s="235"/>
      <x:c r="J31" s="235"/>
      <x:c r="K31" s="235"/>
      <x:c r="L31" s="235"/>
      <x:c r="M31" s="235"/>
      <x:c r="N31" s="235"/>
      <x:c r="O31" s="235"/>
      <x:c r="P31" s="235"/>
      <x:c r="Q31" s="235"/>
    </x:row>
    <x:row r="32">
      <x:c r="A32" s="235"/>
      <x:c r="B32" s="235"/>
      <x:c r="C32" s="235"/>
      <x:c r="D32" s="235"/>
      <x:c r="E32" s="235"/>
      <x:c r="F32" s="235"/>
      <x:c r="G32" s="235"/>
      <x:c r="H32" s="235"/>
      <x:c r="I32" s="235"/>
      <x:c r="J32" s="235"/>
      <x:c r="K32" s="235"/>
      <x:c r="L32" s="235"/>
      <x:c r="M32" s="235"/>
      <x:c r="N32" s="235"/>
      <x:c r="O32" s="235"/>
      <x:c r="P32" s="235"/>
      <x:c r="Q32" s="235"/>
    </x:row>
    <x:row r="33">
      <x:c r="A33" s="235"/>
      <x:c r="B33" s="235"/>
      <x:c r="C33" s="235"/>
      <x:c r="D33" s="235"/>
      <x:c r="E33" s="235"/>
      <x:c r="F33" s="235"/>
      <x:c r="G33" s="235"/>
      <x:c r="H33" s="235"/>
      <x:c r="I33" s="235"/>
      <x:c r="J33" s="235"/>
      <x:c r="K33" s="235"/>
      <x:c r="L33" s="235"/>
      <x:c r="M33" s="235"/>
      <x:c r="N33" s="235"/>
      <x:c r="O33" s="235"/>
      <x:c r="P33" s="235"/>
      <x:c r="Q33" s="235"/>
    </x:row>
    <x:row r="34">
      <x:c r="A34" s="235"/>
      <x:c r="B34" s="235"/>
      <x:c r="C34" s="235"/>
      <x:c r="D34" s="235"/>
      <x:c r="E34" s="235"/>
      <x:c r="F34" s="235"/>
      <x:c r="G34" s="235"/>
      <x:c r="H34" s="235"/>
      <x:c r="I34" s="235"/>
      <x:c r="J34" s="235"/>
      <x:c r="K34" s="235"/>
      <x:c r="L34" s="235"/>
      <x:c r="M34" s="235"/>
      <x:c r="N34" s="235"/>
      <x:c r="O34" s="235"/>
      <x:c r="P34" s="235"/>
      <x:c r="Q34" s="235"/>
    </x:row>
    <x:row r="35">
      <x:c r="A35" s="235"/>
      <x:c r="B35" s="235"/>
      <x:c r="C35" s="235"/>
      <x:c r="D35" s="235"/>
      <x:c r="E35" s="235"/>
      <x:c r="F35" s="235"/>
      <x:c r="G35" s="235"/>
      <x:c r="H35" s="235"/>
      <x:c r="I35" s="235"/>
      <x:c r="J35" s="235"/>
      <x:c r="K35" s="235"/>
      <x:c r="L35" s="235"/>
      <x:c r="M35" s="235"/>
      <x:c r="N35" s="235"/>
      <x:c r="O35" s="235"/>
      <x:c r="P35" s="235"/>
      <x:c r="Q35" s="235"/>
    </x:row>
    <x:row r="36">
      <x:c r="A36" s="235"/>
      <x:c r="B36" s="235"/>
      <x:c r="C36" s="235"/>
      <x:c r="D36" s="235"/>
      <x:c r="E36" s="235"/>
      <x:c r="F36" s="235"/>
      <x:c r="G36" s="235"/>
      <x:c r="H36" s="235"/>
      <x:c r="I36" s="235"/>
      <x:c r="J36" s="235"/>
      <x:c r="K36" s="235"/>
      <x:c r="L36" s="235"/>
      <x:c r="M36" s="235"/>
      <x:c r="N36" s="235"/>
      <x:c r="O36" s="235"/>
      <x:c r="P36" s="235"/>
      <x:c r="Q36" s="235"/>
    </x:row>
    <x:row r="37">
      <x:c r="A37" s="235"/>
      <x:c r="B37" s="235"/>
      <x:c r="C37" s="235"/>
      <x:c r="D37" s="235"/>
      <x:c r="E37" s="235"/>
      <x:c r="F37" s="235"/>
      <x:c r="G37" s="235"/>
      <x:c r="H37" s="235"/>
      <x:c r="I37" s="235"/>
      <x:c r="J37" s="235"/>
      <x:c r="K37" s="235"/>
      <x:c r="L37" s="235"/>
      <x:c r="M37" s="235"/>
      <x:c r="N37" s="235"/>
      <x:c r="O37" s="235"/>
      <x:c r="P37" s="235"/>
      <x:c r="Q37" s="235"/>
    </x:row>
    <x:row r="38">
      <x:c r="A38" s="235"/>
      <x:c r="B38" s="235"/>
      <x:c r="C38" s="235"/>
      <x:c r="D38" s="235"/>
      <x:c r="E38" s="235"/>
      <x:c r="F38" s="235"/>
      <x:c r="G38" s="235"/>
      <x:c r="H38" s="235"/>
      <x:c r="I38" s="235"/>
      <x:c r="J38" s="235"/>
      <x:c r="K38" s="235"/>
      <x:c r="L38" s="235"/>
      <x:c r="M38" s="235"/>
      <x:c r="N38" s="235"/>
      <x:c r="O38" s="235"/>
      <x:c r="P38" s="235"/>
      <x:c r="Q38" s="235"/>
    </x:row>
    <x:row r="39">
      <x:c r="A39" s="235"/>
      <x:c r="B39" s="235"/>
      <x:c r="C39" s="235"/>
      <x:c r="D39" s="235"/>
      <x:c r="E39" s="235"/>
      <x:c r="F39" s="235"/>
      <x:c r="G39" s="235"/>
      <x:c r="H39" s="235"/>
      <x:c r="I39" s="235"/>
      <x:c r="J39" s="235"/>
      <x:c r="K39" s="235"/>
      <x:c r="L39" s="235"/>
      <x:c r="M39" s="235"/>
      <x:c r="N39" s="235"/>
      <x:c r="O39" s="235"/>
      <x:c r="P39" s="235"/>
      <x:c r="Q39" s="235"/>
    </x:row>
    <x:row r="40">
      <x:c r="A40" s="235"/>
      <x:c r="B40" s="235"/>
      <x:c r="C40" s="235"/>
      <x:c r="D40" s="235"/>
      <x:c r="E40" s="235"/>
      <x:c r="F40" s="235"/>
      <x:c r="G40" s="235"/>
      <x:c r="H40" s="235"/>
      <x:c r="I40" s="235"/>
      <x:c r="J40" s="235"/>
      <x:c r="K40" s="235"/>
      <x:c r="L40" s="235"/>
      <x:c r="M40" s="235"/>
      <x:c r="N40" s="235"/>
      <x:c r="O40" s="235"/>
      <x:c r="P40" s="235"/>
      <x:c r="Q40" s="235"/>
    </x:row>
    <x:row r="41">
      <x:c r="A41" s="235"/>
      <x:c r="B41" s="235"/>
      <x:c r="C41" s="235"/>
      <x:c r="D41" s="235"/>
      <x:c r="E41" s="235"/>
      <x:c r="F41" s="235"/>
      <x:c r="G41" s="235"/>
      <x:c r="H41" s="235"/>
      <x:c r="I41" s="235"/>
      <x:c r="J41" s="235"/>
      <x:c r="K41" s="235"/>
      <x:c r="L41" s="235"/>
      <x:c r="M41" s="235"/>
      <x:c r="N41" s="235"/>
      <x:c r="O41" s="235"/>
      <x:c r="P41" s="235"/>
      <x:c r="Q41" s="235"/>
    </x:row>
    <x:row r="42">
      <x:c r="A42" s="235"/>
      <x:c r="B42" s="235"/>
      <x:c r="C42" s="235"/>
      <x:c r="D42" s="235"/>
      <x:c r="E42" s="235"/>
      <x:c r="F42" s="235"/>
      <x:c r="G42" s="235"/>
      <x:c r="H42" s="235"/>
      <x:c r="I42" s="235"/>
      <x:c r="J42" s="235"/>
      <x:c r="K42" s="235"/>
      <x:c r="L42" s="235"/>
      <x:c r="M42" s="235"/>
      <x:c r="N42" s="235"/>
      <x:c r="O42" s="235"/>
      <x:c r="P42" s="235"/>
      <x:c r="Q42" s="235"/>
    </x:row>
    <x:row r="43">
      <x:c r="A43" s="235"/>
      <x:c r="B43" s="235"/>
      <x:c r="C43" s="235"/>
      <x:c r="D43" s="235"/>
      <x:c r="E43" s="235"/>
      <x:c r="F43" s="235"/>
      <x:c r="G43" s="235"/>
      <x:c r="H43" s="235"/>
      <x:c r="I43" s="235"/>
      <x:c r="J43" s="235"/>
      <x:c r="K43" s="235"/>
      <x:c r="L43" s="235"/>
      <x:c r="M43" s="235"/>
      <x:c r="N43" s="235"/>
      <x:c r="O43" s="235"/>
      <x:c r="P43" s="235"/>
      <x:c r="Q43" s="235"/>
    </x:row>
    <x:row r="44">
      <x:c r="A44" s="235"/>
      <x:c r="B44" s="235"/>
      <x:c r="C44" s="235"/>
      <x:c r="D44" s="235"/>
      <x:c r="E44" s="235"/>
      <x:c r="F44" s="235"/>
      <x:c r="G44" s="235"/>
      <x:c r="H44" s="235"/>
      <x:c r="I44" s="235"/>
      <x:c r="J44" s="235"/>
      <x:c r="K44" s="235"/>
      <x:c r="L44" s="235"/>
      <x:c r="M44" s="235"/>
      <x:c r="N44" s="235"/>
      <x:c r="O44" s="235"/>
      <x:c r="P44" s="235"/>
      <x:c r="Q44" s="235"/>
    </x:row>
    <x:row r="45">
      <x:c r="A45" s="235"/>
      <x:c r="B45" s="235"/>
      <x:c r="C45" s="235"/>
      <x:c r="D45" s="235"/>
      <x:c r="E45" s="235"/>
      <x:c r="F45" s="235"/>
      <x:c r="G45" s="235"/>
      <x:c r="H45" s="235"/>
      <x:c r="I45" s="235"/>
      <x:c r="J45" s="235"/>
      <x:c r="K45" s="235"/>
      <x:c r="L45" s="235"/>
      <x:c r="M45" s="235"/>
      <x:c r="N45" s="235"/>
      <x:c r="O45" s="235"/>
      <x:c r="P45" s="235"/>
      <x:c r="Q45" s="235"/>
    </x:row>
    <x:row r="46">
      <x:c r="A46" s="235"/>
      <x:c r="B46" s="235"/>
      <x:c r="C46" s="235"/>
      <x:c r="D46" s="235"/>
      <x:c r="E46" s="235"/>
      <x:c r="F46" s="235"/>
      <x:c r="G46" s="235"/>
      <x:c r="H46" s="235"/>
      <x:c r="I46" s="235"/>
      <x:c r="J46" s="235"/>
      <x:c r="K46" s="235"/>
      <x:c r="L46" s="235"/>
      <x:c r="M46" s="235"/>
      <x:c r="N46" s="235"/>
      <x:c r="O46" s="235"/>
      <x:c r="P46" s="235"/>
      <x:c r="Q46" s="235"/>
    </x:row>
    <x:row r="47">
      <x:c r="A47" s="235"/>
      <x:c r="B47" s="235"/>
      <x:c r="C47" s="235"/>
      <x:c r="D47" s="235"/>
      <x:c r="E47" s="235"/>
      <x:c r="F47" s="235"/>
      <x:c r="G47" s="235"/>
      <x:c r="H47" s="235"/>
      <x:c r="I47" s="235"/>
      <x:c r="J47" s="235"/>
      <x:c r="K47" s="235"/>
      <x:c r="L47" s="235"/>
      <x:c r="M47" s="235"/>
      <x:c r="N47" s="235"/>
      <x:c r="O47" s="235"/>
      <x:c r="P47" s="235"/>
      <x:c r="Q47" s="235"/>
    </x:row>
    <x:row r="48">
      <x:c r="A48" s="235"/>
      <x:c r="B48" s="235"/>
      <x:c r="C48" s="235"/>
      <x:c r="D48" s="235"/>
      <x:c r="E48" s="235"/>
      <x:c r="F48" s="235"/>
      <x:c r="G48" s="235"/>
      <x:c r="H48" s="235"/>
      <x:c r="I48" s="235"/>
      <x:c r="J48" s="235"/>
      <x:c r="K48" s="235"/>
      <x:c r="L48" s="235"/>
      <x:c r="M48" s="235"/>
      <x:c r="N48" s="235"/>
      <x:c r="O48" s="235"/>
      <x:c r="P48" s="235"/>
      <x:c r="Q48" s="235"/>
    </x:row>
    <x:row r="49">
      <x:c r="A49" s="235"/>
      <x:c r="B49" s="235"/>
      <x:c r="C49" s="235"/>
      <x:c r="D49" s="235"/>
      <x:c r="E49" s="235"/>
      <x:c r="F49" s="235"/>
      <x:c r="G49" s="235"/>
      <x:c r="H49" s="235"/>
      <x:c r="I49" s="235"/>
      <x:c r="J49" s="235"/>
      <x:c r="K49" s="235"/>
      <x:c r="L49" s="235"/>
      <x:c r="M49" s="235"/>
      <x:c r="N49" s="235"/>
      <x:c r="O49" s="235"/>
      <x:c r="P49" s="235"/>
      <x:c r="Q49" s="235"/>
    </x:row>
    <x:row r="50">
      <x:c r="A50" s="235"/>
      <x:c r="B50" s="235"/>
      <x:c r="C50" s="235"/>
      <x:c r="D50" s="235"/>
      <x:c r="E50" s="235"/>
      <x:c r="F50" s="235"/>
      <x:c r="G50" s="235"/>
      <x:c r="H50" s="235"/>
      <x:c r="I50" s="235"/>
      <x:c r="J50" s="235"/>
      <x:c r="K50" s="235"/>
      <x:c r="L50" s="235"/>
      <x:c r="M50" s="235"/>
      <x:c r="N50" s="235"/>
      <x:c r="O50" s="235"/>
      <x:c r="P50" s="235"/>
      <x:c r="Q50" s="235"/>
    </x:row>
    <x:row r="51">
      <x:c r="A51" s="235"/>
      <x:c r="B51" s="235"/>
      <x:c r="C51" s="235"/>
      <x:c r="D51" s="235"/>
      <x:c r="E51" s="235"/>
      <x:c r="F51" s="235"/>
      <x:c r="G51" s="235"/>
      <x:c r="H51" s="235"/>
      <x:c r="I51" s="235"/>
      <x:c r="J51" s="235"/>
      <x:c r="K51" s="235"/>
      <x:c r="L51" s="235"/>
      <x:c r="M51" s="235"/>
      <x:c r="N51" s="235"/>
      <x:c r="O51" s="235"/>
      <x:c r="P51" s="235"/>
      <x:c r="Q51" s="235"/>
    </x:row>
    <x:row r="52">
      <x:c r="A52" s="235"/>
      <x:c r="B52" s="235"/>
      <x:c r="C52" s="235"/>
      <x:c r="D52" s="235"/>
      <x:c r="E52" s="235"/>
      <x:c r="F52" s="235"/>
      <x:c r="G52" s="235"/>
      <x:c r="H52" s="235"/>
      <x:c r="I52" s="235"/>
      <x:c r="J52" s="235"/>
      <x:c r="K52" s="235"/>
      <x:c r="L52" s="235"/>
      <x:c r="M52" s="235"/>
      <x:c r="N52" s="235"/>
      <x:c r="O52" s="235"/>
      <x:c r="P52" s="235"/>
      <x:c r="Q52" s="235"/>
    </x:row>
    <x:row r="53">
      <x:c r="A53" s="235"/>
      <x:c r="B53" s="235"/>
      <x:c r="C53" s="235"/>
      <x:c r="D53" s="235"/>
      <x:c r="E53" s="235"/>
      <x:c r="F53" s="235"/>
      <x:c r="G53" s="235"/>
      <x:c r="H53" s="235"/>
      <x:c r="I53" s="235"/>
      <x:c r="J53" s="235"/>
      <x:c r="K53" s="235"/>
      <x:c r="L53" s="235"/>
      <x:c r="M53" s="235"/>
      <x:c r="N53" s="235"/>
      <x:c r="O53" s="235"/>
      <x:c r="P53" s="235"/>
      <x:c r="Q53" s="235"/>
    </x:row>
    <x:row r="54">
      <x:c r="A54" s="235"/>
      <x:c r="B54" s="235"/>
      <x:c r="C54" s="235"/>
      <x:c r="D54" s="235"/>
      <x:c r="E54" s="235"/>
      <x:c r="F54" s="235"/>
      <x:c r="G54" s="235"/>
      <x:c r="H54" s="235"/>
      <x:c r="I54" s="235"/>
      <x:c r="J54" s="235"/>
      <x:c r="K54" s="235"/>
      <x:c r="L54" s="235"/>
      <x:c r="M54" s="235"/>
      <x:c r="N54" s="235"/>
      <x:c r="O54" s="235"/>
      <x:c r="P54" s="235"/>
      <x:c r="Q54" s="235"/>
    </x:row>
    <x:row r="55">
      <x:c r="A55" s="235"/>
      <x:c r="B55" s="235"/>
      <x:c r="C55" s="235"/>
      <x:c r="D55" s="235"/>
      <x:c r="E55" s="235"/>
      <x:c r="F55" s="235"/>
      <x:c r="G55" s="235"/>
      <x:c r="H55" s="235"/>
      <x:c r="I55" s="235"/>
      <x:c r="J55" s="235"/>
      <x:c r="K55" s="235"/>
      <x:c r="L55" s="235"/>
      <x:c r="M55" s="235"/>
      <x:c r="N55" s="235"/>
      <x:c r="O55" s="235"/>
      <x:c r="P55" s="235"/>
      <x:c r="Q55" s="235"/>
    </x:row>
    <x:row r="56">
      <x:c r="A56" s="235"/>
      <x:c r="B56" s="235"/>
      <x:c r="C56" s="235"/>
      <x:c r="D56" s="235"/>
      <x:c r="E56" s="235"/>
      <x:c r="F56" s="235"/>
      <x:c r="G56" s="235"/>
      <x:c r="H56" s="235"/>
      <x:c r="I56" s="235"/>
      <x:c r="J56" s="235"/>
      <x:c r="K56" s="235"/>
      <x:c r="L56" s="235"/>
      <x:c r="M56" s="235"/>
      <x:c r="N56" s="235"/>
      <x:c r="O56" s="235"/>
      <x:c r="P56" s="235"/>
      <x:c r="Q56" s="235"/>
    </x:row>
    <x:row r="57">
      <x:c r="A57" s="235"/>
      <x:c r="B57" s="235"/>
      <x:c r="C57" s="235"/>
      <x:c r="D57" s="235"/>
      <x:c r="E57" s="235"/>
      <x:c r="F57" s="235"/>
      <x:c r="G57" s="235"/>
      <x:c r="H57" s="235"/>
      <x:c r="I57" s="235"/>
      <x:c r="J57" s="235"/>
      <x:c r="K57" s="235"/>
      <x:c r="L57" s="235"/>
      <x:c r="M57" s="235"/>
      <x:c r="N57" s="235"/>
      <x:c r="O57" s="235"/>
      <x:c r="P57" s="235"/>
      <x:c r="Q57" s="235"/>
    </x:row>
    <x:row r="58">
      <x:c r="A58" s="235"/>
      <x:c r="B58" s="235"/>
      <x:c r="C58" s="235"/>
      <x:c r="D58" s="235"/>
      <x:c r="E58" s="235"/>
      <x:c r="F58" s="235"/>
      <x:c r="G58" s="235"/>
      <x:c r="H58" s="235"/>
      <x:c r="I58" s="235"/>
      <x:c r="J58" s="235"/>
      <x:c r="K58" s="235"/>
      <x:c r="L58" s="235"/>
      <x:c r="M58" s="235"/>
      <x:c r="N58" s="235"/>
      <x:c r="O58" s="235"/>
      <x:c r="P58" s="235"/>
      <x:c r="Q58" s="235"/>
    </x:row>
    <x:row r="59">
      <x:c r="A59" s="235"/>
      <x:c r="B59" s="235"/>
      <x:c r="C59" s="235"/>
      <x:c r="D59" s="235"/>
      <x:c r="E59" s="235"/>
      <x:c r="F59" s="235"/>
      <x:c r="G59" s="235"/>
      <x:c r="H59" s="235"/>
      <x:c r="I59" s="235"/>
      <x:c r="J59" s="235"/>
      <x:c r="K59" s="235"/>
      <x:c r="L59" s="235"/>
      <x:c r="M59" s="235"/>
      <x:c r="N59" s="235"/>
      <x:c r="O59" s="235"/>
      <x:c r="P59" s="235"/>
      <x:c r="Q59" s="235"/>
    </x:row>
    <x:row r="60">
      <x:c r="A60" s="235"/>
      <x:c r="B60" s="235"/>
      <x:c r="C60" s="235"/>
      <x:c r="D60" s="235"/>
      <x:c r="E60" s="235"/>
      <x:c r="F60" s="235"/>
      <x:c r="G60" s="235"/>
      <x:c r="H60" s="235"/>
      <x:c r="I60" s="235"/>
      <x:c r="J60" s="235"/>
      <x:c r="K60" s="235"/>
      <x:c r="L60" s="235"/>
      <x:c r="M60" s="235"/>
      <x:c r="N60" s="235"/>
      <x:c r="O60" s="235"/>
      <x:c r="P60" s="235"/>
      <x:c r="Q60" s="235"/>
    </x:row>
  </x:sheetData>
  <x:mergeCells>
    <x:mergeCell ref="A1:H1"/>
    <x:mergeCell ref="A2:H2"/>
    <x:mergeCell ref="A4:E4"/>
    <x:mergeCell ref="A18:H21"/>
  </x:mergeCell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40"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3" hidden="0" customWidth="1"/>
  </x:cols>
  <x:sheetData>
    <x:row r="1" ht="31" customHeight="1">
      <x:c r="A1" s="277" t="str">
        <x:v>Morrisons | Base Case</x:v>
      </x:c>
      <x:c r="B1" s="278" t="str">
        <x:v>Morrisons | Base Case</x:v>
      </x:c>
      <x:c r="C1" s="278" t="str">
        <x:v>Morrisons | Base Case</x:v>
      </x:c>
      <x:c r="D1" s="278" t="str">
        <x:v>Morrisons | Base Case</x:v>
      </x:c>
      <x:c r="E1" s="278" t="str">
        <x:v>Morrisons | Base Case</x:v>
      </x:c>
      <x:c r="F1" s="278" t="str">
        <x:v>Morrisons | Base Case</x:v>
      </x:c>
      <x:c r="G1" s="279" t="str">
        <x:v>Morrisons | Base Case</x:v>
      </x:c>
      <x:c r="H1" s="5" t="str">
        <x:v>Morrisons | Base Case</x:v>
      </x:c>
      <x:c r="I1" s="233"/>
      <x:c r="J1" s="233"/>
      <x:c r="K1" s="233"/>
      <x:c r="L1" s="233"/>
      <x:c r="M1" s="233"/>
      <x:c r="N1" s="233"/>
      <x:c r="O1" s="233"/>
      <x:c r="P1" s="233"/>
      <x:c r="Q1" s="233"/>
    </x:row>
    <x:row r="2" ht="24" customHeight="1">
      <x:c r="A2" s="280" t="str">
        <x:v>Formula-driven operating cash flow, liquidity and debt paydown. £m unless stated.</x:v>
      </x:c>
      <x:c r="B2" s="281" t="str">
        <x:v>Formula-driven operating cash flow, liquidity and debt paydown. £m unless stated.</x:v>
      </x:c>
      <x:c r="C2" s="281" t="str">
        <x:v>Formula-driven operating cash flow, liquidity and debt paydown. £m unless stated.</x:v>
      </x:c>
      <x:c r="D2" s="281" t="str">
        <x:v>Formula-driven operating cash flow, liquidity and debt paydown. £m unless stated.</x:v>
      </x:c>
      <x:c r="E2" s="281" t="str">
        <x:v>Formula-driven operating cash flow, liquidity and debt paydown. £m unless stated.</x:v>
      </x:c>
      <x:c r="F2" s="281" t="str">
        <x:v>Formula-driven operating cash flow, liquidity and debt paydown. £m unless stated.</x:v>
      </x:c>
      <x:c r="G2" s="282" t="str">
        <x:v>Formula-driven operating cash flow, liquidity and debt paydown. £m unless stated.</x:v>
      </x:c>
      <x:c r="H2" s="234" t="str">
        <x:v>Formula-driven operating cash flow, liquidity and debt paydown. £m unless stated.</x:v>
      </x:c>
      <x:c r="I2" s="235"/>
      <x:c r="J2" s="235"/>
      <x:c r="K2" s="235"/>
      <x:c r="L2" s="235"/>
      <x:c r="M2" s="235"/>
      <x:c r="N2" s="235"/>
      <x:c r="O2" s="235"/>
      <x:c r="P2" s="235"/>
      <x:c r="Q2" s="235"/>
    </x:row>
    <x:row r="3">
      <x:c r="A3" s="283"/>
      <x:c r="B3" s="284"/>
      <x:c r="C3" s="284"/>
      <x:c r="D3" s="284"/>
      <x:c r="E3" s="284"/>
      <x:c r="F3" s="284"/>
      <x:c r="G3" s="285"/>
      <x:c r="H3" s="235"/>
      <x:c r="I3" s="235"/>
      <x:c r="J3" s="235"/>
      <x:c r="K3" s="235"/>
      <x:c r="L3" s="235"/>
      <x:c r="M3" s="235"/>
      <x:c r="N3" s="235"/>
      <x:c r="O3" s="235"/>
      <x:c r="P3" s="235"/>
      <x:c r="Q3" s="235"/>
    </x:row>
    <x:row r="4">
      <x:c r="A4" s="283"/>
      <x:c r="B4" s="286" t="str">
        <x:v>2025A</x:v>
      </x:c>
      <x:c r="C4" s="286" t="str">
        <x:v>2026E</x:v>
      </x:c>
      <x:c r="D4" s="286" t="str">
        <x:v>2027E</x:v>
      </x:c>
      <x:c r="E4" s="286" t="str">
        <x:v>2028E</x:v>
      </x:c>
      <x:c r="F4" s="286" t="str">
        <x:v>2029E</x:v>
      </x:c>
      <x:c r="G4" s="287" t="str">
        <x:v>2030E</x:v>
      </x:c>
      <x:c r="H4" s="235"/>
      <x:c r="I4" s="235"/>
      <x:c r="J4" s="235"/>
      <x:c r="K4" s="235"/>
      <x:c r="L4" s="235"/>
      <x:c r="M4" s="235"/>
      <x:c r="N4" s="235"/>
      <x:c r="O4" s="235"/>
      <x:c r="P4" s="235"/>
      <x:c r="Q4" s="235"/>
    </x:row>
    <x:row r="5">
      <x:c r="A5" s="288" t="str">
        <x:v>Operating Forecast</x:v>
      </x:c>
      <x:c r="B5" s="289" t="str">
        <x:v>Operating Forecast</x:v>
      </x:c>
      <x:c r="C5" s="289" t="str">
        <x:v>Operating Forecast</x:v>
      </x:c>
      <x:c r="D5" s="289" t="str">
        <x:v>Operating Forecast</x:v>
      </x:c>
      <x:c r="E5" s="289" t="str">
        <x:v>Operating Forecast</x:v>
      </x:c>
      <x:c r="F5" s="289" t="str">
        <x:v>Operating Forecast</x:v>
      </x:c>
      <x:c r="G5" s="290" t="str">
        <x:v>Operating Forecast</x:v>
      </x:c>
      <x:c r="H5" s="235"/>
      <x:c r="I5" s="235"/>
      <x:c r="J5" s="235"/>
      <x:c r="K5" s="235"/>
      <x:c r="L5" s="235"/>
      <x:c r="M5" s="235"/>
      <x:c r="N5" s="235"/>
      <x:c r="O5" s="235"/>
      <x:c r="P5" s="235"/>
      <x:c r="Q5" s="235"/>
    </x:row>
    <x:row r="6">
      <x:c r="A6" s="291" t="str">
        <x:v>Revenue</x:v>
      </x:c>
      <x:c r="B6" s="292" t="n">
        <x:f>'Historical'!D6</x:f>
        <x:v>15800</x:v>
      </x:c>
      <x:c r="C6" s="293" t="n">
        <x:f>ROUND(B6*(1+'Assumptions'!B27),0)</x:f>
        <x:v>16227</x:v>
      </x:c>
      <x:c r="D6" s="293" t="n">
        <x:f>ROUND(C6*(1+'Assumptions'!C27),0)</x:f>
        <x:v>16633</x:v>
      </x:c>
      <x:c r="E6" s="293" t="n">
        <x:f>ROUND(D6*(1+'Assumptions'!D27),0)</x:f>
        <x:v>17016</x:v>
      </x:c>
      <x:c r="F6" s="293" t="n">
        <x:f>ROUND(E6*(1+'Assumptions'!E27),0)</x:f>
        <x:v>17356</x:v>
      </x:c>
      <x:c r="G6" s="294" t="n">
        <x:f>ROUND(F6*(1+'Assumptions'!F27),0)</x:f>
        <x:v>17703</x:v>
      </x:c>
      <x:c r="H6" s="235"/>
      <x:c r="I6" s="235"/>
      <x:c r="J6" s="235"/>
      <x:c r="K6" s="235"/>
      <x:c r="L6" s="235"/>
      <x:c r="M6" s="235"/>
      <x:c r="N6" s="235"/>
      <x:c r="O6" s="235"/>
      <x:c r="P6" s="235"/>
      <x:c r="Q6" s="235"/>
    </x:row>
    <x:row r="7">
      <x:c r="A7" s="291" t="str">
        <x:v>Revenue growth</x:v>
      </x:c>
      <x:c r="B7" s="295" t="n">
        <x:f>'Historical'!D7</x:f>
        <x:v>0.0327</x:v>
      </x:c>
      <x:c r="C7" s="296" t="n">
        <x:f>'Assumptions'!B27</x:f>
        <x:v>0.027</x:v>
      </x:c>
      <x:c r="D7" s="296" t="n">
        <x:f>'Assumptions'!C27</x:f>
        <x:v>0.025</x:v>
      </x:c>
      <x:c r="E7" s="296" t="n">
        <x:f>'Assumptions'!D27</x:f>
        <x:v>0.023</x:v>
      </x:c>
      <x:c r="F7" s="296" t="n">
        <x:f>'Assumptions'!E27</x:f>
        <x:v>0.02</x:v>
      </x:c>
      <x:c r="G7" s="297" t="n">
        <x:f>'Assumptions'!F27</x:f>
        <x:v>0.02</x:v>
      </x:c>
      <x:c r="H7" s="235"/>
      <x:c r="I7" s="235"/>
      <x:c r="J7" s="235"/>
      <x:c r="K7" s="235"/>
      <x:c r="L7" s="235"/>
      <x:c r="M7" s="235"/>
      <x:c r="N7" s="235"/>
      <x:c r="O7" s="235"/>
      <x:c r="P7" s="235"/>
      <x:c r="Q7" s="235"/>
    </x:row>
    <x:row r="8">
      <x:c r="A8" s="291" t="str">
        <x:v>EBITDA margin</x:v>
      </x:c>
      <x:c r="B8" s="295" t="n">
        <x:f>'Historical'!D9</x:f>
        <x:v>0.0528</x:v>
      </x:c>
      <x:c r="C8" s="296" t="n">
        <x:f>'Assumptions'!B28</x:f>
        <x:v>0.0535</x:v>
      </x:c>
      <x:c r="D8" s="296" t="n">
        <x:f>'Assumptions'!C28</x:f>
        <x:v>0.0545</x:v>
      </x:c>
      <x:c r="E8" s="296" t="n">
        <x:f>'Assumptions'!D28</x:f>
        <x:v>0.0555</x:v>
      </x:c>
      <x:c r="F8" s="296" t="n">
        <x:f>'Assumptions'!E28</x:f>
        <x:v>0.056</x:v>
      </x:c>
      <x:c r="G8" s="297" t="n">
        <x:f>'Assumptions'!F28</x:f>
        <x:v>0.0565</x:v>
      </x:c>
      <x:c r="H8" s="235"/>
      <x:c r="I8" s="235"/>
      <x:c r="J8" s="235"/>
      <x:c r="K8" s="235"/>
      <x:c r="L8" s="235"/>
      <x:c r="M8" s="235"/>
      <x:c r="N8" s="235"/>
      <x:c r="O8" s="235"/>
      <x:c r="P8" s="235"/>
      <x:c r="Q8" s="235"/>
    </x:row>
    <x:row r="9">
      <x:c r="A9" s="291" t="str">
        <x:v>EBITDA</x:v>
      </x:c>
      <x:c r="B9" s="298" t="n">
        <x:f>'Historical'!D8</x:f>
        <x:v>835</x:v>
      </x:c>
      <x:c r="C9" s="299" t="n">
        <x:f>ROUND(C6*C8,0)</x:f>
        <x:v>868</x:v>
      </x:c>
      <x:c r="D9" s="299" t="n">
        <x:f>ROUND(D6*D8,0)</x:f>
        <x:v>906</x:v>
      </x:c>
      <x:c r="E9" s="299" t="n">
        <x:f>ROUND(E6*E8,0)</x:f>
        <x:v>944</x:v>
      </x:c>
      <x:c r="F9" s="299" t="n">
        <x:f>ROUND(F6*F8,0)</x:f>
        <x:v>972</x:v>
      </x:c>
      <x:c r="G9" s="300" t="n">
        <x:f>ROUND(G6*G8,0)</x:f>
        <x:v>1000</x:v>
      </x:c>
      <x:c r="H9" s="235"/>
      <x:c r="I9" s="235"/>
      <x:c r="J9" s="235"/>
      <x:c r="K9" s="235"/>
      <x:c r="L9" s="235"/>
      <x:c r="M9" s="235"/>
      <x:c r="N9" s="235"/>
      <x:c r="O9" s="235"/>
      <x:c r="P9" s="235"/>
      <x:c r="Q9" s="235"/>
    </x:row>
    <x:row r="10">
      <x:c r="A10" s="291" t="str">
        <x:v>Capital expenditure</x:v>
      </x:c>
      <x:c r="B10" s="301"/>
      <x:c r="C10" s="299" t="n">
        <x:f>-ROUND(C6*'Assumptions'!B29,0)</x:f>
        <x:v>-398</x:v>
      </x:c>
      <x:c r="D10" s="299" t="n">
        <x:f>-ROUND(D6*'Assumptions'!C29,0)</x:f>
        <x:v>-408</x:v>
      </x:c>
      <x:c r="E10" s="299" t="n">
        <x:f>-ROUND(E6*'Assumptions'!D29,0)</x:f>
        <x:v>-417</x:v>
      </x:c>
      <x:c r="F10" s="299" t="n">
        <x:f>-ROUND(F6*'Assumptions'!E29,0)</x:f>
        <x:v>-425</x:v>
      </x:c>
      <x:c r="G10" s="300" t="n">
        <x:f>-ROUND(G6*'Assumptions'!F29,0)</x:f>
        <x:v>-434</x:v>
      </x:c>
      <x:c r="H10" s="235"/>
      <x:c r="I10" s="235"/>
      <x:c r="J10" s="235"/>
      <x:c r="K10" s="235"/>
      <x:c r="L10" s="235"/>
      <x:c r="M10" s="235"/>
      <x:c r="N10" s="235"/>
      <x:c r="O10" s="235"/>
      <x:c r="P10" s="235"/>
      <x:c r="Q10" s="235"/>
    </x:row>
    <x:row r="11">
      <x:c r="A11" s="291" t="str">
        <x:v>Debt cash interest</x:v>
      </x:c>
      <x:c r="B11" s="301"/>
      <x:c r="C11" s="299" t="n">
        <x:f>-ROUND(C21*'Assumptions'!$B$13+C24*'Assumptions'!$B$16+C27*'Assumptions'!$B$18+C30*'Assumptions'!$B$11,0)</x:f>
        <x:v>-271</x:v>
      </x:c>
      <x:c r="D11" s="299" t="n">
        <x:f>-ROUND(D21*'Assumptions'!$B$13+D24*'Assumptions'!$B$16+D27*'Assumptions'!$B$18+D30*'Assumptions'!$B$11,0)</x:f>
        <x:v>-267</x:v>
      </x:c>
      <x:c r="E11" s="299" t="n">
        <x:f>-ROUND(E21*'Assumptions'!$B$13+E24*'Assumptions'!$B$16+E27*'Assumptions'!$B$18+E30*'Assumptions'!$B$11,0)</x:f>
        <x:v>-263</x:v>
      </x:c>
      <x:c r="F11" s="299" t="n">
        <x:f>-ROUND(F21*'Assumptions'!$B$13+F24*'Assumptions'!$B$16+F27*'Assumptions'!$B$18+F30*'Assumptions'!$B$11,0)</x:f>
        <x:v>-260</x:v>
      </x:c>
      <x:c r="G11" s="300" t="n">
        <x:f>-ROUND(G21*'Assumptions'!$B$13+G24*'Assumptions'!$B$16+G27*'Assumptions'!$B$18+G30*'Assumptions'!$B$11,0)</x:f>
        <x:v>-257</x:v>
      </x:c>
      <x:c r="H11" s="235"/>
      <x:c r="I11" s="235"/>
      <x:c r="J11" s="235"/>
      <x:c r="K11" s="235"/>
      <x:c r="L11" s="235"/>
      <x:c r="M11" s="235"/>
      <x:c r="N11" s="235"/>
      <x:c r="O11" s="235"/>
      <x:c r="P11" s="235"/>
      <x:c r="Q11" s="235"/>
    </x:row>
    <x:row r="12">
      <x:c r="A12" s="291" t="str">
        <x:v>Lease interest</x:v>
      </x:c>
      <x:c r="B12" s="301"/>
      <x:c r="C12" s="299" t="n">
        <x:f>-'Assumptions'!$B$21</x:f>
        <x:v>-105</x:v>
      </x:c>
      <x:c r="D12" s="299" t="n">
        <x:f>ROUND(C12*(1+'Assumptions'!$B$22),0)</x:f>
        <x:v>-107</x:v>
      </x:c>
      <x:c r="E12" s="299" t="n">
        <x:f>ROUND(D12*(1+'Assumptions'!$B$22),0)</x:f>
        <x:v>-109</x:v>
      </x:c>
      <x:c r="F12" s="299" t="n">
        <x:f>ROUND(E12*(1+'Assumptions'!$B$22),0)</x:f>
        <x:v>-111</x:v>
      </x:c>
      <x:c r="G12" s="300" t="n">
        <x:f>ROUND(F12*(1+'Assumptions'!$B$22),0)</x:f>
        <x:v>-113</x:v>
      </x:c>
      <x:c r="H12" s="235"/>
      <x:c r="I12" s="235"/>
      <x:c r="J12" s="235"/>
      <x:c r="K12" s="235"/>
      <x:c r="L12" s="235"/>
      <x:c r="M12" s="235"/>
      <x:c r="N12" s="235"/>
      <x:c r="O12" s="235"/>
      <x:c r="P12" s="235"/>
      <x:c r="Q12" s="235"/>
    </x:row>
    <x:row r="13">
      <x:c r="A13" s="291" t="str">
        <x:v>Cash taxes</x:v>
      </x:c>
      <x:c r="B13" s="301"/>
      <x:c r="C13" s="299" t="n">
        <x:f>-ROUND(C9*'Assumptions'!B30,0)</x:f>
        <x:v>0</x:v>
      </x:c>
      <x:c r="D13" s="299" t="n">
        <x:f>-ROUND(D9*'Assumptions'!C30,0)</x:f>
        <x:v>-9</x:v>
      </x:c>
      <x:c r="E13" s="299" t="n">
        <x:f>-ROUND(E9*'Assumptions'!D30,0)</x:f>
        <x:v>-19</x:v>
      </x:c>
      <x:c r="F13" s="299" t="n">
        <x:f>-ROUND(F9*'Assumptions'!E30,0)</x:f>
        <x:v>-29</x:v>
      </x:c>
      <x:c r="G13" s="300" t="n">
        <x:f>-ROUND(G9*'Assumptions'!F30,0)</x:f>
        <x:v>-40</x:v>
      </x:c>
      <x:c r="H13" s="235"/>
      <x:c r="I13" s="235"/>
      <x:c r="J13" s="235"/>
      <x:c r="K13" s="235"/>
      <x:c r="L13" s="235"/>
      <x:c r="M13" s="235"/>
      <x:c r="N13" s="235"/>
      <x:c r="O13" s="235"/>
      <x:c r="P13" s="235"/>
      <x:c r="Q13" s="235"/>
    </x:row>
    <x:row r="14">
      <x:c r="A14" s="291" t="str">
        <x:v>Working capital &amp; other cash inflow</x:v>
      </x:c>
      <x:c r="B14" s="301"/>
      <x:c r="C14" s="299" t="n">
        <x:f>'Assumptions'!B31</x:f>
        <x:v>60</x:v>
      </x:c>
      <x:c r="D14" s="299" t="n">
        <x:f>'Assumptions'!C31</x:f>
        <x:v>40</x:v>
      </x:c>
      <x:c r="E14" s="299" t="n">
        <x:f>'Assumptions'!D31</x:f>
        <x:v>30</x:v>
      </x:c>
      <x:c r="F14" s="299" t="n">
        <x:f>'Assumptions'!E31</x:f>
        <x:v>20</x:v>
      </x:c>
      <x:c r="G14" s="300" t="n">
        <x:f>'Assumptions'!F31</x:f>
        <x:v>20</x:v>
      </x:c>
      <x:c r="H14" s="235"/>
      <x:c r="I14" s="235"/>
      <x:c r="J14" s="235"/>
      <x:c r="K14" s="235"/>
      <x:c r="L14" s="235"/>
      <x:c r="M14" s="235"/>
      <x:c r="N14" s="235"/>
      <x:c r="O14" s="235"/>
      <x:c r="P14" s="235"/>
      <x:c r="Q14" s="235"/>
    </x:row>
    <x:row r="15">
      <x:c r="A15" s="291" t="str">
        <x:v>Lease principal</x:v>
      </x:c>
      <x:c r="B15" s="301"/>
      <x:c r="C15" s="299" t="n">
        <x:f>-'Assumptions'!B32</x:f>
        <x:v>-120</x:v>
      </x:c>
      <x:c r="D15" s="299" t="n">
        <x:f>-'Assumptions'!C32</x:f>
        <x:v>-123</x:v>
      </x:c>
      <x:c r="E15" s="299" t="n">
        <x:f>-'Assumptions'!D32</x:f>
        <x:v>-126</x:v>
      </x:c>
      <x:c r="F15" s="299" t="n">
        <x:f>-'Assumptions'!E32</x:f>
        <x:v>-129</x:v>
      </x:c>
      <x:c r="G15" s="300" t="n">
        <x:f>-'Assumptions'!F32</x:f>
        <x:v>-132</x:v>
      </x:c>
      <x:c r="H15" s="235"/>
      <x:c r="I15" s="235"/>
      <x:c r="J15" s="235"/>
      <x:c r="K15" s="235"/>
      <x:c r="L15" s="235"/>
      <x:c r="M15" s="235"/>
      <x:c r="N15" s="235"/>
      <x:c r="O15" s="235"/>
      <x:c r="P15" s="235"/>
      <x:c r="Q15" s="235"/>
    </x:row>
    <x:row r="16">
      <x:c r="A16" s="302" t="str">
        <x:v>Cash flow before debt paydown</x:v>
      </x:c>
      <x:c r="B16" s="303"/>
      <x:c r="C16" s="304" t="n">
        <x:f>ROUND(SUM(C9:C15),0)</x:f>
        <x:v>34</x:v>
      </x:c>
      <x:c r="D16" s="304" t="n">
        <x:f>ROUND(SUM(D9:D15),0)</x:f>
        <x:v>32</x:v>
      </x:c>
      <x:c r="E16" s="304" t="n">
        <x:f>ROUND(SUM(E9:E15),0)</x:f>
        <x:v>40</x:v>
      </x:c>
      <x:c r="F16" s="304" t="n">
        <x:f>ROUND(SUM(F9:F15),0)</x:f>
        <x:v>38</x:v>
      </x:c>
      <x:c r="G16" s="305" t="n">
        <x:f>ROUND(SUM(G9:G15),0)</x:f>
        <x:v>44</x:v>
      </x:c>
      <x:c r="H16" s="235"/>
      <x:c r="I16" s="235"/>
      <x:c r="J16" s="235"/>
      <x:c r="K16" s="235"/>
      <x:c r="L16" s="235"/>
      <x:c r="M16" s="235"/>
      <x:c r="N16" s="235"/>
      <x:c r="O16" s="235"/>
      <x:c r="P16" s="235"/>
      <x:c r="Q16" s="235"/>
    </x:row>
    <x:row r="17">
      <x:c r="A17" s="302" t="str">
        <x:v>Cash conversion / EBITDA</x:v>
      </x:c>
      <x:c r="B17" s="306"/>
      <x:c r="C17" s="307" t="n">
        <x:f>C16/C9</x:f>
        <x:v>0.03917050691244239</x:v>
      </x:c>
      <x:c r="D17" s="307" t="n">
        <x:f>D16/D9</x:f>
        <x:v>0.03532008830022075</x:v>
      </x:c>
      <x:c r="E17" s="307" t="n">
        <x:f>E16/E9</x:f>
        <x:v>0.0423728813559322</x:v>
      </x:c>
      <x:c r="F17" s="307" t="n">
        <x:f>F16/F9</x:f>
        <x:v>0.03909465020576132</x:v>
      </x:c>
      <x:c r="G17" s="308" t="n">
        <x:f>G16/G9</x:f>
        <x:v>0.044</x:v>
      </x:c>
      <x:c r="H17" s="235"/>
      <x:c r="I17" s="235"/>
      <x:c r="J17" s="235"/>
      <x:c r="K17" s="235"/>
      <x:c r="L17" s="235"/>
      <x:c r="M17" s="235"/>
      <x:c r="N17" s="235"/>
      <x:c r="O17" s="235"/>
      <x:c r="P17" s="235"/>
      <x:c r="Q17" s="235"/>
    </x:row>
    <x:row r="18">
      <x:c r="A18" s="291"/>
      <x:c r="B18" s="284"/>
      <x:c r="C18" s="309"/>
      <x:c r="D18" s="309"/>
      <x:c r="E18" s="309"/>
      <x:c r="F18" s="309"/>
      <x:c r="G18" s="310"/>
      <x:c r="H18" s="235"/>
      <x:c r="I18" s="235"/>
      <x:c r="J18" s="235"/>
      <x:c r="K18" s="235"/>
      <x:c r="L18" s="235"/>
      <x:c r="M18" s="235"/>
      <x:c r="N18" s="235"/>
      <x:c r="O18" s="235"/>
      <x:c r="P18" s="235"/>
      <x:c r="Q18" s="235"/>
    </x:row>
    <x:row r="19">
      <x:c r="A19" s="288" t="str">
        <x:v>Debt Schedule &amp; Liquidity</x:v>
      </x:c>
      <x:c r="B19" s="289" t="str">
        <x:v>Debt Schedule &amp; Liquidity</x:v>
      </x:c>
      <x:c r="C19" s="311" t="str">
        <x:v>Debt Schedule &amp; Liquidity</x:v>
      </x:c>
      <x:c r="D19" s="311" t="str">
        <x:v>Debt Schedule &amp; Liquidity</x:v>
      </x:c>
      <x:c r="E19" s="311" t="str">
        <x:v>Debt Schedule &amp; Liquidity</x:v>
      </x:c>
      <x:c r="F19" s="311" t="str">
        <x:v>Debt Schedule &amp; Liquidity</x:v>
      </x:c>
      <x:c r="G19" s="312" t="str">
        <x:v>Debt Schedule &amp; Liquidity</x:v>
      </x:c>
      <x:c r="H19" s="235"/>
      <x:c r="I19" s="235"/>
      <x:c r="J19" s="235"/>
      <x:c r="K19" s="235"/>
      <x:c r="L19" s="235"/>
      <x:c r="M19" s="235"/>
      <x:c r="N19" s="235"/>
      <x:c r="O19" s="235"/>
      <x:c r="P19" s="235"/>
      <x:c r="Q19" s="235"/>
    </x:row>
    <x:row r="20">
      <x:c r="A20" s="291" t="str">
        <x:v>Opening cash</x:v>
      </x:c>
      <x:c r="B20" s="284"/>
      <x:c r="C20" s="299" t="n">
        <x:f>'Assumptions'!$B$8</x:f>
        <x:v>350</x:v>
      </x:c>
      <x:c r="D20" s="299" t="n">
        <x:f>ROUND(C35,1)</x:f>
        <x:v>329.2</x:v>
      </x:c>
      <x:c r="E20" s="299" t="n">
        <x:f>ROUND(D35,1)</x:f>
        <x:v>317.9</x:v>
      </x:c>
      <x:c r="F20" s="299" t="n">
        <x:f>ROUND(E35,1)</x:f>
        <x:v>316.2</x:v>
      </x:c>
      <x:c r="G20" s="300" t="n">
        <x:f>ROUND(F35,1)</x:f>
        <x:v>314.4</x:v>
      </x:c>
      <x:c r="H20" s="235"/>
      <x:c r="I20" s="235"/>
      <x:c r="J20" s="235"/>
      <x:c r="K20" s="235"/>
      <x:c r="L20" s="235"/>
      <x:c r="M20" s="235"/>
      <x:c r="N20" s="235"/>
      <x:c r="O20" s="235"/>
      <x:c r="P20" s="235"/>
      <x:c r="Q20" s="235"/>
    </x:row>
    <x:row r="21">
      <x:c r="A21" s="291" t="str">
        <x:v>Opening term loans</x:v>
      </x:c>
      <x:c r="B21" s="284"/>
      <x:c r="C21" s="299" t="n">
        <x:f>'Assumptions'!$B$12</x:f>
        <x:v>1650</x:v>
      </x:c>
      <x:c r="D21" s="299" t="n">
        <x:f>ROUND(C23,1)</x:f>
        <x:v>1604.2</x:v>
      </x:c>
      <x:c r="E21" s="299" t="n">
        <x:f>ROUND(D23,1)</x:f>
        <x:v>1569.9</x:v>
      </x:c>
      <x:c r="F21" s="299" t="n">
        <x:f>ROUND(E23,1)</x:f>
        <x:v>1537.2</x:v>
      </x:c>
      <x:c r="G21" s="300" t="n">
        <x:f>ROUND(F23,1)</x:f>
        <x:v>1506.4</x:v>
      </x:c>
      <x:c r="H21" s="235"/>
      <x:c r="I21" s="235"/>
      <x:c r="J21" s="235"/>
      <x:c r="K21" s="235"/>
      <x:c r="L21" s="235"/>
      <x:c r="M21" s="235"/>
      <x:c r="N21" s="235"/>
      <x:c r="O21" s="235"/>
      <x:c r="P21" s="235"/>
      <x:c r="Q21" s="235"/>
    </x:row>
    <x:row r="22">
      <x:c r="A22" s="291" t="str">
        <x:v>Mandatory term loan amortisation</x:v>
      </x:c>
      <x:c r="B22" s="284"/>
      <x:c r="C22" s="299" t="n">
        <x:f>-ROUND(MIN(C21,'Assumptions'!$B$12*'Assumptions'!$B$14),1)</x:f>
        <x:v>-16.5</x:v>
      </x:c>
      <x:c r="D22" s="299" t="n">
        <x:f>-ROUND(MIN(D21,'Assumptions'!$B$12*'Assumptions'!$B$14),1)</x:f>
        <x:v>-16.5</x:v>
      </x:c>
      <x:c r="E22" s="299" t="n">
        <x:f>-ROUND(MIN(E21,'Assumptions'!$B$12*'Assumptions'!$B$14),1)</x:f>
        <x:v>-16.5</x:v>
      </x:c>
      <x:c r="F22" s="299" t="n">
        <x:f>-ROUND(MIN(F21,'Assumptions'!$B$12*'Assumptions'!$B$14),1)</x:f>
        <x:v>-16.5</x:v>
      </x:c>
      <x:c r="G22" s="300" t="n">
        <x:f>-ROUND(MIN(G21,'Assumptions'!$B$12*'Assumptions'!$B$14),1)</x:f>
        <x:v>-16.5</x:v>
      </x:c>
      <x:c r="H22" s="235"/>
      <x:c r="I22" s="235"/>
      <x:c r="J22" s="235"/>
      <x:c r="K22" s="235"/>
      <x:c r="L22" s="235"/>
      <x:c r="M22" s="235"/>
      <x:c r="N22" s="235"/>
      <x:c r="O22" s="235"/>
      <x:c r="P22" s="235"/>
      <x:c r="Q22" s="235"/>
    </x:row>
    <x:row r="23">
      <x:c r="A23" s="291" t="str">
        <x:v>Closing term loans</x:v>
      </x:c>
      <x:c r="B23" s="284"/>
      <x:c r="C23" s="299" t="n">
        <x:f>ROUND(C21+C22+C34,1)</x:f>
        <x:v>1604.2</x:v>
      </x:c>
      <x:c r="D23" s="299" t="n">
        <x:f>ROUND(D21+D22+D34,1)</x:f>
        <x:v>1569.9</x:v>
      </x:c>
      <x:c r="E23" s="299" t="n">
        <x:f>ROUND(E21+E22+E34,1)</x:f>
        <x:v>1537.2</x:v>
      </x:c>
      <x:c r="F23" s="299" t="n">
        <x:f>ROUND(F21+F22+F34,1)</x:f>
        <x:v>1506.4</x:v>
      </x:c>
      <x:c r="G23" s="300" t="n">
        <x:f>ROUND(G21+G22+G34,1)</x:f>
        <x:v>1473.5</x:v>
      </x:c>
      <x:c r="H23" s="235"/>
      <x:c r="I23" s="235"/>
      <x:c r="J23" s="235"/>
      <x:c r="K23" s="235"/>
      <x:c r="L23" s="235"/>
      <x:c r="M23" s="235"/>
      <x:c r="N23" s="235"/>
      <x:c r="O23" s="235"/>
      <x:c r="P23" s="235"/>
      <x:c r="Q23" s="235"/>
    </x:row>
    <x:row r="24">
      <x:c r="A24" s="291" t="str">
        <x:v>Opening 2031 senior secured notes</x:v>
      </x:c>
      <x:c r="B24" s="284"/>
      <x:c r="C24" s="299" t="n">
        <x:f>'Assumptions'!$B$15</x:f>
        <x:v>930</x:v>
      </x:c>
      <x:c r="D24" s="299" t="n">
        <x:f>C26</x:f>
        <x:v>930</x:v>
      </x:c>
      <x:c r="E24" s="299" t="n">
        <x:f>D26</x:f>
        <x:v>930</x:v>
      </x:c>
      <x:c r="F24" s="299" t="n">
        <x:f>E26</x:f>
        <x:v>930</x:v>
      </x:c>
      <x:c r="G24" s="300" t="n">
        <x:f>F26</x:f>
        <x:v>930</x:v>
      </x:c>
      <x:c r="H24" s="235"/>
      <x:c r="I24" s="235"/>
      <x:c r="J24" s="235"/>
      <x:c r="K24" s="235"/>
      <x:c r="L24" s="235"/>
      <x:c r="M24" s="235"/>
      <x:c r="N24" s="235"/>
      <x:c r="O24" s="235"/>
      <x:c r="P24" s="235"/>
      <x:c r="Q24" s="235"/>
    </x:row>
    <x:row r="25">
      <x:c r="A25" s="291" t="str">
        <x:v>Scheduled notes amortisation</x:v>
      </x:c>
      <x:c r="B25" s="284"/>
      <x:c r="C25" s="299" t="n">
        <x:v>0</x:v>
      </x:c>
      <x:c r="D25" s="299" t="n">
        <x:v>0</x:v>
      </x:c>
      <x:c r="E25" s="299" t="n">
        <x:v>0</x:v>
      </x:c>
      <x:c r="F25" s="299" t="n">
        <x:v>0</x:v>
      </x:c>
      <x:c r="G25" s="300" t="n">
        <x:v>0</x:v>
      </x:c>
      <x:c r="H25" s="235"/>
      <x:c r="I25" s="235"/>
      <x:c r="J25" s="235"/>
      <x:c r="K25" s="235"/>
      <x:c r="L25" s="235"/>
      <x:c r="M25" s="235"/>
      <x:c r="N25" s="235"/>
      <x:c r="O25" s="235"/>
      <x:c r="P25" s="235"/>
      <x:c r="Q25" s="235"/>
    </x:row>
    <x:row r="26">
      <x:c r="A26" s="291" t="str">
        <x:v>Closing 2031 senior secured notes</x:v>
      </x:c>
      <x:c r="B26" s="284"/>
      <x:c r="C26" s="299" t="n">
        <x:f>ROUND(C24+C25,1)</x:f>
        <x:v>930</x:v>
      </x:c>
      <x:c r="D26" s="299" t="n">
        <x:f>ROUND(D24+D25,1)</x:f>
        <x:v>930</x:v>
      </x:c>
      <x:c r="E26" s="299" t="n">
        <x:f>ROUND(E24+E25,1)</x:f>
        <x:v>930</x:v>
      </x:c>
      <x:c r="F26" s="299" t="n">
        <x:f>ROUND(F24+F25,1)</x:f>
        <x:v>930</x:v>
      </x:c>
      <x:c r="G26" s="300" t="n">
        <x:f>ROUND(G24+G25,1)</x:f>
        <x:v>930</x:v>
      </x:c>
      <x:c r="H26" s="235"/>
      <x:c r="I26" s="235"/>
      <x:c r="J26" s="235"/>
      <x:c r="K26" s="235"/>
      <x:c r="L26" s="235"/>
      <x:c r="M26" s="235"/>
      <x:c r="N26" s="235"/>
      <x:c r="O26" s="235"/>
      <x:c r="P26" s="235"/>
      <x:c r="Q26" s="235"/>
    </x:row>
    <x:row r="27">
      <x:c r="A27" s="291" t="str">
        <x:v>Opening proposed refinancing facility</x:v>
      </x:c>
      <x:c r="B27" s="284"/>
      <x:c r="C27" s="299" t="n">
        <x:f>'Assumptions'!$B$17</x:f>
        <x:v>900</x:v>
      </x:c>
      <x:c r="D27" s="299" t="n">
        <x:f>C29</x:f>
        <x:v>891</x:v>
      </x:c>
      <x:c r="E27" s="299" t="n">
        <x:f>D29</x:f>
        <x:v>882</x:v>
      </x:c>
      <x:c r="F27" s="299" t="n">
        <x:f>E29</x:f>
        <x:v>873</x:v>
      </x:c>
      <x:c r="G27" s="300" t="n">
        <x:f>F29</x:f>
        <x:v>864</x:v>
      </x:c>
      <x:c r="H27" s="235"/>
      <x:c r="I27" s="235"/>
      <x:c r="J27" s="235"/>
      <x:c r="K27" s="235"/>
      <x:c r="L27" s="235"/>
      <x:c r="M27" s="235"/>
      <x:c r="N27" s="235"/>
      <x:c r="O27" s="235"/>
      <x:c r="P27" s="235"/>
      <x:c r="Q27" s="235"/>
    </x:row>
    <x:row r="28">
      <x:c r="A28" s="291" t="str">
        <x:v>Mandatory refinancing facility amortisation</x:v>
      </x:c>
      <x:c r="B28" s="284"/>
      <x:c r="C28" s="299" t="n">
        <x:f>-ROUND(MIN(C27,'Assumptions'!$B$17*'Assumptions'!$B$19),1)</x:f>
        <x:v>-9</x:v>
      </x:c>
      <x:c r="D28" s="299" t="n">
        <x:f>-ROUND(MIN(D27,'Assumptions'!$B$17*'Assumptions'!$B$19),1)</x:f>
        <x:v>-9</x:v>
      </x:c>
      <x:c r="E28" s="299" t="n">
        <x:f>-ROUND(MIN(E27,'Assumptions'!$B$17*'Assumptions'!$B$19),1)</x:f>
        <x:v>-9</x:v>
      </x:c>
      <x:c r="F28" s="299" t="n">
        <x:f>-ROUND(MIN(F27,'Assumptions'!$B$17*'Assumptions'!$B$19),1)</x:f>
        <x:v>-9</x:v>
      </x:c>
      <x:c r="G28" s="300" t="n">
        <x:f>-ROUND(MIN(G27,'Assumptions'!$B$17*'Assumptions'!$B$19),1)</x:f>
        <x:v>-9</x:v>
      </x:c>
      <x:c r="H28" s="235"/>
      <x:c r="I28" s="235"/>
      <x:c r="J28" s="235"/>
      <x:c r="K28" s="235"/>
      <x:c r="L28" s="235"/>
      <x:c r="M28" s="235"/>
      <x:c r="N28" s="235"/>
      <x:c r="O28" s="235"/>
      <x:c r="P28" s="235"/>
      <x:c r="Q28" s="235"/>
    </x:row>
    <x:row r="29">
      <x:c r="A29" s="291" t="str">
        <x:v>Closing proposed refinancing facility</x:v>
      </x:c>
      <x:c r="B29" s="284"/>
      <x:c r="C29" s="299" t="n">
        <x:f>ROUND(C27+C28,1)</x:f>
        <x:v>891</x:v>
      </x:c>
      <x:c r="D29" s="299" t="n">
        <x:f>ROUND(D27+D28,1)</x:f>
        <x:v>882</x:v>
      </x:c>
      <x:c r="E29" s="299" t="n">
        <x:f>ROUND(E27+E28,1)</x:f>
        <x:v>873</x:v>
      </x:c>
      <x:c r="F29" s="299" t="n">
        <x:f>ROUND(F27+F28,1)</x:f>
        <x:v>864</x:v>
      </x:c>
      <x:c r="G29" s="300" t="n">
        <x:f>ROUND(G27+G28,1)</x:f>
        <x:v>855</x:v>
      </x:c>
      <x:c r="H29" s="235"/>
      <x:c r="I29" s="235"/>
      <x:c r="J29" s="235"/>
      <x:c r="K29" s="235"/>
      <x:c r="L29" s="235"/>
      <x:c r="M29" s="235"/>
      <x:c r="N29" s="235"/>
      <x:c r="O29" s="235"/>
      <x:c r="P29" s="235"/>
      <x:c r="Q29" s="235"/>
    </x:row>
    <x:row r="30">
      <x:c r="A30" s="291" t="str">
        <x:v>Opening RCF</x:v>
      </x:c>
      <x:c r="B30" s="284"/>
      <x:c r="C30" s="299" t="n">
        <x:f>0</x:f>
        <x:v>0</x:v>
      </x:c>
      <x:c r="D30" s="299" t="n">
        <x:f>C33</x:f>
        <x:v>0</x:v>
      </x:c>
      <x:c r="E30" s="299" t="n">
        <x:f>D33</x:f>
        <x:v>0</x:v>
      </x:c>
      <x:c r="F30" s="299" t="n">
        <x:f>E33</x:f>
        <x:v>0</x:v>
      </x:c>
      <x:c r="G30" s="300" t="n">
        <x:f>F33</x:f>
        <x:v>0</x:v>
      </x:c>
      <x:c r="H30" s="235"/>
      <x:c r="I30" s="235"/>
      <x:c r="J30" s="235"/>
      <x:c r="K30" s="235"/>
      <x:c r="L30" s="235"/>
      <x:c r="M30" s="235"/>
      <x:c r="N30" s="235"/>
      <x:c r="O30" s="235"/>
      <x:c r="P30" s="235"/>
      <x:c r="Q30" s="235"/>
    </x:row>
    <x:row r="31">
      <x:c r="A31" s="291" t="str">
        <x:v>RCF draw</x:v>
      </x:c>
      <x:c r="B31" s="284"/>
      <x:c r="C31" s="299" t="n">
        <x:f>ROUND(MAX(0,'Assumptions'!$B$9-(C20+C16+C22+C28)),1)</x:f>
        <x:v>0</x:v>
      </x:c>
      <x:c r="D31" s="299" t="n">
        <x:f>ROUND(MAX(0,'Assumptions'!$B$9-(D20+D16+D22+D28)),1)</x:f>
        <x:v>0</x:v>
      </x:c>
      <x:c r="E31" s="299" t="n">
        <x:f>ROUND(MAX(0,'Assumptions'!$B$9-(E20+E16+E22+E28)),1)</x:f>
        <x:v>0</x:v>
      </x:c>
      <x:c r="F31" s="299" t="n">
        <x:f>ROUND(MAX(0,'Assumptions'!$B$9-(F20+F16+F22+F28)),1)</x:f>
        <x:v>0</x:v>
      </x:c>
      <x:c r="G31" s="300" t="n">
        <x:f>ROUND(MAX(0,'Assumptions'!$B$9-(G20+G16+G22+G28)),1)</x:f>
        <x:v>0</x:v>
      </x:c>
      <x:c r="H31" s="235"/>
      <x:c r="I31" s="235"/>
      <x:c r="J31" s="235"/>
      <x:c r="K31" s="235"/>
      <x:c r="L31" s="235"/>
      <x:c r="M31" s="235"/>
      <x:c r="N31" s="235"/>
      <x:c r="O31" s="235"/>
      <x:c r="P31" s="235"/>
      <x:c r="Q31" s="235"/>
    </x:row>
    <x:row r="32">
      <x:c r="A32" s="291" t="str">
        <x:v>RCF repayment</x:v>
      </x:c>
      <x:c r="B32" s="284"/>
      <x:c r="C32" s="299" t="n">
        <x:f>-ROUND(MIN(C30,MAX(0,C20+C16+C22+C28-'Assumptions'!$B$9)),1)</x:f>
        <x:v>0</x:v>
      </x:c>
      <x:c r="D32" s="299" t="n">
        <x:f>-ROUND(MIN(D30,MAX(0,D20+D16+D22+D28-'Assumptions'!$B$9)),1)</x:f>
        <x:v>0</x:v>
      </x:c>
      <x:c r="E32" s="299" t="n">
        <x:f>-ROUND(MIN(E30,MAX(0,E20+E16+E22+E28-'Assumptions'!$B$9)),1)</x:f>
        <x:v>0</x:v>
      </x:c>
      <x:c r="F32" s="299" t="n">
        <x:f>-ROUND(MIN(F30,MAX(0,F20+F16+F22+F28-'Assumptions'!$B$9)),1)</x:f>
        <x:v>0</x:v>
      </x:c>
      <x:c r="G32" s="300" t="n">
        <x:f>-ROUND(MIN(G30,MAX(0,G20+G16+G22+G28-'Assumptions'!$B$9)),1)</x:f>
        <x:v>0</x:v>
      </x:c>
      <x:c r="H32" s="235"/>
      <x:c r="I32" s="235"/>
      <x:c r="J32" s="235"/>
      <x:c r="K32" s="235"/>
      <x:c r="L32" s="235"/>
      <x:c r="M32" s="235"/>
      <x:c r="N32" s="235"/>
      <x:c r="O32" s="235"/>
      <x:c r="P32" s="235"/>
      <x:c r="Q32" s="235"/>
    </x:row>
    <x:row r="33">
      <x:c r="A33" s="291" t="str">
        <x:v>Closing RCF</x:v>
      </x:c>
      <x:c r="B33" s="284"/>
      <x:c r="C33" s="299" t="n">
        <x:f>ROUND(C30+C31+C32,1)</x:f>
        <x:v>0</x:v>
      </x:c>
      <x:c r="D33" s="299" t="n">
        <x:f>ROUND(D30+D31+D32,1)</x:f>
        <x:v>0</x:v>
      </x:c>
      <x:c r="E33" s="299" t="n">
        <x:f>ROUND(E30+E31+E32,1)</x:f>
        <x:v>0</x:v>
      </x:c>
      <x:c r="F33" s="299" t="n">
        <x:f>ROUND(F30+F31+F32,1)</x:f>
        <x:v>0</x:v>
      </x:c>
      <x:c r="G33" s="300" t="n">
        <x:f>ROUND(G30+G31+G32,1)</x:f>
        <x:v>0</x:v>
      </x:c>
      <x:c r="H33" s="235"/>
      <x:c r="I33" s="235"/>
      <x:c r="J33" s="235"/>
      <x:c r="K33" s="235"/>
      <x:c r="L33" s="235"/>
      <x:c r="M33" s="235"/>
      <x:c r="N33" s="235"/>
      <x:c r="O33" s="235"/>
      <x:c r="P33" s="235"/>
      <x:c r="Q33" s="235"/>
    </x:row>
    <x:row r="34">
      <x:c r="A34" s="291" t="str">
        <x:v>Excess cash flow sweep</x:v>
      </x:c>
      <x:c r="B34" s="284"/>
      <x:c r="C34" s="299" t="n">
        <x:f>-ROUND(MIN(C21+C22,MAX(0,(C20+C16+C22+C28+C31+C32-'Assumptions'!$B$9)*'Assumptions'!$B$20)),1)</x:f>
        <x:v>-29.3</x:v>
      </x:c>
      <x:c r="D34" s="299" t="n">
        <x:f>-ROUND(MIN(D21+D22,MAX(0,(D20+D16+D22+D28+D31+D32-'Assumptions'!$B$9)*'Assumptions'!$B$20)),1)</x:f>
        <x:v>-17.8</x:v>
      </x:c>
      <x:c r="E34" s="299" t="n">
        <x:f>-ROUND(MIN(E21+E22,MAX(0,(E20+E16+E22+E28+E31+E32-'Assumptions'!$B$9)*'Assumptions'!$B$20)),1)</x:f>
        <x:v>-16.2</x:v>
      </x:c>
      <x:c r="F34" s="299" t="n">
        <x:f>-ROUND(MIN(F21+F22,MAX(0,(F20+F16+F22+F28+F31+F32-'Assumptions'!$B$9)*'Assumptions'!$B$20)),1)</x:f>
        <x:v>-14.3</x:v>
      </x:c>
      <x:c r="G34" s="300" t="n">
        <x:f>-ROUND(MIN(G21+G22,MAX(0,(G20+G16+G22+G28+G31+G32-'Assumptions'!$B$9)*'Assumptions'!$B$20)),1)</x:f>
        <x:v>-16.4</x:v>
      </x:c>
      <x:c r="H34" s="235"/>
      <x:c r="I34" s="235"/>
      <x:c r="J34" s="235"/>
      <x:c r="K34" s="235"/>
      <x:c r="L34" s="235"/>
      <x:c r="M34" s="235"/>
      <x:c r="N34" s="235"/>
      <x:c r="O34" s="235"/>
      <x:c r="P34" s="235"/>
      <x:c r="Q34" s="235"/>
    </x:row>
    <x:row r="35">
      <x:c r="A35" s="291" t="str">
        <x:v>Closing cash</x:v>
      </x:c>
      <x:c r="B35" s="284"/>
      <x:c r="C35" s="299" t="n">
        <x:f>ROUND(C20+C16+C22+C28+C31+C32+C34,1)</x:f>
        <x:v>329.2</x:v>
      </x:c>
      <x:c r="D35" s="299" t="n">
        <x:f>ROUND(D20+D16+D22+D28+D31+D32+D34,1)</x:f>
        <x:v>317.9</x:v>
      </x:c>
      <x:c r="E35" s="299" t="n">
        <x:f>ROUND(E20+E16+E22+E28+E31+E32+E34,1)</x:f>
        <x:v>316.2</x:v>
      </x:c>
      <x:c r="F35" s="299" t="n">
        <x:f>ROUND(F20+F16+F22+F28+F31+F32+F34,1)</x:f>
        <x:v>314.4</x:v>
      </x:c>
      <x:c r="G35" s="300" t="n">
        <x:f>ROUND(G20+G16+G22+G28+G31+G32+G34,1)</x:f>
        <x:v>316.5</x:v>
      </x:c>
      <x:c r="H35" s="235"/>
      <x:c r="I35" s="235"/>
      <x:c r="J35" s="235"/>
      <x:c r="K35" s="235"/>
      <x:c r="L35" s="235"/>
      <x:c r="M35" s="235"/>
      <x:c r="N35" s="235"/>
      <x:c r="O35" s="235"/>
      <x:c r="P35" s="235"/>
      <x:c r="Q35" s="235"/>
    </x:row>
    <x:row r="36">
      <x:c r="A36" s="313" t="str">
        <x:v>Closing gross debt</x:v>
      </x:c>
      <x:c r="B36" s="314"/>
      <x:c r="C36" s="315" t="n">
        <x:f>ROUND(SUM(C23,C26,C29,C33),1)</x:f>
        <x:v>3425.2</x:v>
      </x:c>
      <x:c r="D36" s="315" t="n">
        <x:f>ROUND(SUM(D23,D26,D29,D33),1)</x:f>
        <x:v>3381.9</x:v>
      </x:c>
      <x:c r="E36" s="315" t="n">
        <x:f>ROUND(SUM(E23,E26,E29,E33),1)</x:f>
        <x:v>3340.2</x:v>
      </x:c>
      <x:c r="F36" s="315" t="n">
        <x:f>ROUND(SUM(F23,F26,F29,F33),1)</x:f>
        <x:v>3300.4</x:v>
      </x:c>
      <x:c r="G36" s="316" t="n">
        <x:f>ROUND(SUM(G23,G26,G29,G33),1)</x:f>
        <x:v>3258.5</x:v>
      </x:c>
      <x:c r="H36" s="235"/>
      <x:c r="I36" s="235"/>
      <x:c r="J36" s="235"/>
      <x:c r="K36" s="235"/>
      <x:c r="L36" s="235"/>
      <x:c r="M36" s="235"/>
      <x:c r="N36" s="235"/>
      <x:c r="O36" s="235"/>
      <x:c r="P36" s="235"/>
      <x:c r="Q36" s="235"/>
    </x:row>
    <x:row r="37">
      <x:c r="A37" s="313" t="str">
        <x:v>Closing net debt</x:v>
      </x:c>
      <x:c r="B37" s="314"/>
      <x:c r="C37" s="315" t="n">
        <x:f>ROUND(C36-C35,1)</x:f>
        <x:v>3096</x:v>
      </x:c>
      <x:c r="D37" s="315" t="n">
        <x:f>ROUND(D36-D35,1)</x:f>
        <x:v>3064</x:v>
      </x:c>
      <x:c r="E37" s="315" t="n">
        <x:f>ROUND(E36-E35,1)</x:f>
        <x:v>3024</x:v>
      </x:c>
      <x:c r="F37" s="315" t="n">
        <x:f>ROUND(F36-F35,1)</x:f>
        <x:v>2986</x:v>
      </x:c>
      <x:c r="G37" s="316" t="n">
        <x:f>ROUND(G36-G35,1)</x:f>
        <x:v>2942</x:v>
      </x:c>
      <x:c r="H37" s="235"/>
      <x:c r="I37" s="235"/>
      <x:c r="J37" s="235"/>
      <x:c r="K37" s="235"/>
      <x:c r="L37" s="235"/>
      <x:c r="M37" s="235"/>
      <x:c r="N37" s="235"/>
      <x:c r="O37" s="235"/>
      <x:c r="P37" s="235"/>
      <x:c r="Q37" s="235"/>
    </x:row>
    <x:row r="38">
      <x:c r="A38" s="313" t="str">
        <x:v>Net leverage</x:v>
      </x:c>
      <x:c r="B38" s="314"/>
      <x:c r="C38" s="317" t="n">
        <x:f>C37/C9</x:f>
        <x:v>3.5668202764976957</x:v>
      </x:c>
      <x:c r="D38" s="317" t="n">
        <x:f>D37/D9</x:f>
        <x:v>3.381898454746137</x:v>
      </x:c>
      <x:c r="E38" s="317" t="n">
        <x:f>E37/E9</x:f>
        <x:v>3.2033898305084745</x:v>
      </x:c>
      <x:c r="F38" s="317" t="n">
        <x:f>F37/F9</x:f>
        <x:v>3.07201646090535</x:v>
      </x:c>
      <x:c r="G38" s="318" t="n">
        <x:f>G37/G9</x:f>
        <x:v>2.942</x:v>
      </x:c>
      <x:c r="H38" s="235"/>
      <x:c r="I38" s="235"/>
      <x:c r="J38" s="235"/>
      <x:c r="K38" s="235"/>
      <x:c r="L38" s="235"/>
      <x:c r="M38" s="235"/>
      <x:c r="N38" s="235"/>
      <x:c r="O38" s="235"/>
      <x:c r="P38" s="235"/>
      <x:c r="Q38" s="235"/>
    </x:row>
    <x:row r="39">
      <x:c r="A39" s="313" t="str">
        <x:v>EBITDA / total cash interest</x:v>
      </x:c>
      <x:c r="B39" s="314"/>
      <x:c r="C39" s="317" t="n">
        <x:f>C9/(-C11-C12)</x:f>
        <x:v>2.3085106382978724</x:v>
      </x:c>
      <x:c r="D39" s="317" t="n">
        <x:f>D9/(-D11-D12)</x:f>
        <x:v>2.4224598930481283</x:v>
      </x:c>
      <x:c r="E39" s="317" t="n">
        <x:f>E9/(-E11-E12)</x:f>
        <x:v>2.5376344086021505</x:v>
      </x:c>
      <x:c r="F39" s="317" t="n">
        <x:f>F9/(-F11-F12)</x:f>
        <x:v>2.6199460916442048</x:v>
      </x:c>
      <x:c r="G39" s="318" t="n">
        <x:f>G9/(-G11-G12)</x:f>
        <x:v>2.7027027027027026</x:v>
      </x:c>
      <x:c r="H39" s="235"/>
      <x:c r="I39" s="235"/>
      <x:c r="J39" s="235"/>
      <x:c r="K39" s="235"/>
      <x:c r="L39" s="235"/>
      <x:c r="M39" s="235"/>
      <x:c r="N39" s="235"/>
      <x:c r="O39" s="235"/>
      <x:c r="P39" s="235"/>
      <x:c r="Q39" s="235"/>
    </x:row>
    <x:row r="40">
      <x:c r="A40" s="319" t="str">
        <x:v>Liquidity (cash + undrawn RCF)</x:v>
      </x:c>
      <x:c r="B40" s="320"/>
      <x:c r="C40" s="321" t="n">
        <x:f>ROUND(C35+'Assumptions'!$B$10-C33,1)</x:f>
        <x:v>1329.2</x:v>
      </x:c>
      <x:c r="D40" s="321" t="n">
        <x:f>ROUND(D35+'Assumptions'!$B$10-D33,1)</x:f>
        <x:v>1317.9</x:v>
      </x:c>
      <x:c r="E40" s="321" t="n">
        <x:f>ROUND(E35+'Assumptions'!$B$10-E33,1)</x:f>
        <x:v>1316.2</x:v>
      </x:c>
      <x:c r="F40" s="321" t="n">
        <x:f>ROUND(F35+'Assumptions'!$B$10-F33,1)</x:f>
        <x:v>1314.4</x:v>
      </x:c>
      <x:c r="G40" s="322" t="n">
        <x:f>ROUND(G35+'Assumptions'!$B$10-G33,1)</x:f>
        <x:v>1316.5</x:v>
      </x:c>
      <x:c r="H40" s="235"/>
      <x:c r="I40" s="235"/>
      <x:c r="J40" s="235"/>
      <x:c r="K40" s="235"/>
      <x:c r="L40" s="235"/>
      <x:c r="M40" s="235"/>
      <x:c r="N40" s="235"/>
      <x:c r="O40" s="235"/>
      <x:c r="P40" s="235"/>
      <x:c r="Q40" s="235"/>
    </x:row>
    <x:row r="41">
      <x:c r="A41" s="235"/>
      <x:c r="B41" s="235"/>
      <x:c r="C41" s="235"/>
      <x:c r="D41" s="235"/>
      <x:c r="E41" s="235"/>
      <x:c r="F41" s="235"/>
      <x:c r="G41" s="235"/>
      <x:c r="H41" s="235"/>
      <x:c r="I41" s="235"/>
      <x:c r="J41" s="235"/>
      <x:c r="K41" s="235"/>
      <x:c r="L41" s="235"/>
      <x:c r="M41" s="235"/>
      <x:c r="N41" s="235"/>
      <x:c r="O41" s="235"/>
      <x:c r="P41" s="235"/>
      <x:c r="Q41" s="235"/>
    </x:row>
    <x:row r="42">
      <x:c r="A42" s="235"/>
      <x:c r="B42" s="235"/>
      <x:c r="C42" s="235"/>
      <x:c r="D42" s="235"/>
      <x:c r="E42" s="235"/>
      <x:c r="F42" s="235"/>
      <x:c r="G42" s="235"/>
      <x:c r="H42" s="235"/>
      <x:c r="I42" s="235"/>
      <x:c r="J42" s="235"/>
      <x:c r="K42" s="235"/>
      <x:c r="L42" s="235"/>
      <x:c r="M42" s="235"/>
      <x:c r="N42" s="235"/>
      <x:c r="O42" s="235"/>
      <x:c r="P42" s="235"/>
      <x:c r="Q42" s="235"/>
    </x:row>
    <x:row r="43">
      <x:c r="A43" s="235"/>
      <x:c r="B43" s="235"/>
      <x:c r="C43" s="235"/>
      <x:c r="D43" s="235"/>
      <x:c r="E43" s="235"/>
      <x:c r="F43" s="235"/>
      <x:c r="G43" s="235"/>
      <x:c r="H43" s="235"/>
      <x:c r="I43" s="235"/>
      <x:c r="J43" s="235"/>
      <x:c r="K43" s="235"/>
      <x:c r="L43" s="235"/>
      <x:c r="M43" s="235"/>
      <x:c r="N43" s="235"/>
      <x:c r="O43" s="235"/>
      <x:c r="P43" s="235"/>
      <x:c r="Q43" s="235"/>
    </x:row>
    <x:row r="44">
      <x:c r="A44" s="235"/>
      <x:c r="B44" s="235"/>
      <x:c r="C44" s="235"/>
      <x:c r="D44" s="235"/>
      <x:c r="E44" s="235"/>
      <x:c r="F44" s="235"/>
      <x:c r="G44" s="235"/>
      <x:c r="H44" s="235"/>
      <x:c r="I44" s="235"/>
      <x:c r="J44" s="235"/>
      <x:c r="K44" s="235"/>
      <x:c r="L44" s="235"/>
      <x:c r="M44" s="235"/>
      <x:c r="N44" s="235"/>
      <x:c r="O44" s="235"/>
      <x:c r="P44" s="235"/>
      <x:c r="Q44" s="235"/>
    </x:row>
    <x:row r="45">
      <x:c r="A45" s="235"/>
      <x:c r="B45" s="235"/>
      <x:c r="C45" s="235"/>
      <x:c r="D45" s="235"/>
      <x:c r="E45" s="235"/>
      <x:c r="F45" s="235"/>
      <x:c r="G45" s="235"/>
      <x:c r="H45" s="235"/>
      <x:c r="I45" s="235"/>
      <x:c r="J45" s="235"/>
      <x:c r="K45" s="235"/>
      <x:c r="L45" s="235"/>
      <x:c r="M45" s="235"/>
      <x:c r="N45" s="235"/>
      <x:c r="O45" s="235"/>
      <x:c r="P45" s="235"/>
      <x:c r="Q45" s="235"/>
    </x:row>
    <x:row r="46">
      <x:c r="A46" s="235"/>
      <x:c r="B46" s="235"/>
      <x:c r="C46" s="235"/>
      <x:c r="D46" s="235"/>
      <x:c r="E46" s="235"/>
      <x:c r="F46" s="235"/>
      <x:c r="G46" s="235"/>
      <x:c r="H46" s="235"/>
      <x:c r="I46" s="235"/>
      <x:c r="J46" s="235"/>
      <x:c r="K46" s="235"/>
      <x:c r="L46" s="235"/>
      <x:c r="M46" s="235"/>
      <x:c r="N46" s="235"/>
      <x:c r="O46" s="235"/>
      <x:c r="P46" s="235"/>
      <x:c r="Q46" s="235"/>
    </x:row>
    <x:row r="47">
      <x:c r="A47" s="235"/>
      <x:c r="B47" s="235"/>
      <x:c r="C47" s="235"/>
      <x:c r="D47" s="235"/>
      <x:c r="E47" s="235"/>
      <x:c r="F47" s="235"/>
      <x:c r="G47" s="235"/>
      <x:c r="H47" s="235"/>
      <x:c r="I47" s="235"/>
      <x:c r="J47" s="235"/>
      <x:c r="K47" s="235"/>
      <x:c r="L47" s="235"/>
      <x:c r="M47" s="235"/>
      <x:c r="N47" s="235"/>
      <x:c r="O47" s="235"/>
      <x:c r="P47" s="235"/>
      <x:c r="Q47" s="235"/>
    </x:row>
    <x:row r="48">
      <x:c r="A48" s="235"/>
      <x:c r="B48" s="235"/>
      <x:c r="C48" s="235"/>
      <x:c r="D48" s="235"/>
      <x:c r="E48" s="235"/>
      <x:c r="F48" s="235"/>
      <x:c r="G48" s="235"/>
      <x:c r="H48" s="235"/>
      <x:c r="I48" s="235"/>
      <x:c r="J48" s="235"/>
      <x:c r="K48" s="235"/>
      <x:c r="L48" s="235"/>
      <x:c r="M48" s="235"/>
      <x:c r="N48" s="235"/>
      <x:c r="O48" s="235"/>
      <x:c r="P48" s="235"/>
      <x:c r="Q48" s="235"/>
    </x:row>
    <x:row r="49">
      <x:c r="A49" s="235"/>
      <x:c r="B49" s="235"/>
      <x:c r="C49" s="235"/>
      <x:c r="D49" s="235"/>
      <x:c r="E49" s="235"/>
      <x:c r="F49" s="235"/>
      <x:c r="G49" s="235"/>
      <x:c r="H49" s="235"/>
      <x:c r="I49" s="235"/>
      <x:c r="J49" s="235"/>
      <x:c r="K49" s="235"/>
      <x:c r="L49" s="235"/>
      <x:c r="M49" s="235"/>
      <x:c r="N49" s="235"/>
      <x:c r="O49" s="235"/>
      <x:c r="P49" s="235"/>
      <x:c r="Q49" s="235"/>
    </x:row>
    <x:row r="50">
      <x:c r="A50" s="235"/>
      <x:c r="B50" s="235"/>
      <x:c r="C50" s="235"/>
      <x:c r="D50" s="235"/>
      <x:c r="E50" s="235"/>
      <x:c r="F50" s="235"/>
      <x:c r="G50" s="235"/>
      <x:c r="H50" s="235"/>
      <x:c r="I50" s="235"/>
      <x:c r="J50" s="235"/>
      <x:c r="K50" s="235"/>
      <x:c r="L50" s="235"/>
      <x:c r="M50" s="235"/>
      <x:c r="N50" s="235"/>
      <x:c r="O50" s="235"/>
      <x:c r="P50" s="235"/>
      <x:c r="Q50" s="235"/>
    </x:row>
    <x:row r="51">
      <x:c r="A51" s="235"/>
      <x:c r="B51" s="235"/>
      <x:c r="C51" s="235"/>
      <x:c r="D51" s="235"/>
      <x:c r="E51" s="235"/>
      <x:c r="F51" s="235"/>
      <x:c r="G51" s="235"/>
      <x:c r="H51" s="235"/>
      <x:c r="I51" s="235"/>
      <x:c r="J51" s="235"/>
      <x:c r="K51" s="235"/>
      <x:c r="L51" s="235"/>
      <x:c r="M51" s="235"/>
      <x:c r="N51" s="235"/>
      <x:c r="O51" s="235"/>
      <x:c r="P51" s="235"/>
      <x:c r="Q51" s="235"/>
    </x:row>
    <x:row r="52">
      <x:c r="A52" s="235"/>
      <x:c r="B52" s="235"/>
      <x:c r="C52" s="235"/>
      <x:c r="D52" s="235"/>
      <x:c r="E52" s="235"/>
      <x:c r="F52" s="235"/>
      <x:c r="G52" s="235"/>
      <x:c r="H52" s="235"/>
      <x:c r="I52" s="235"/>
      <x:c r="J52" s="235"/>
      <x:c r="K52" s="235"/>
      <x:c r="L52" s="235"/>
      <x:c r="M52" s="235"/>
      <x:c r="N52" s="235"/>
      <x:c r="O52" s="235"/>
      <x:c r="P52" s="235"/>
      <x:c r="Q52" s="235"/>
    </x:row>
    <x:row r="53">
      <x:c r="A53" s="235"/>
      <x:c r="B53" s="235"/>
      <x:c r="C53" s="235"/>
      <x:c r="D53" s="235"/>
      <x:c r="E53" s="235"/>
      <x:c r="F53" s="235"/>
      <x:c r="G53" s="235"/>
      <x:c r="H53" s="235"/>
      <x:c r="I53" s="235"/>
      <x:c r="J53" s="235"/>
      <x:c r="K53" s="235"/>
      <x:c r="L53" s="235"/>
      <x:c r="M53" s="235"/>
      <x:c r="N53" s="235"/>
      <x:c r="O53" s="235"/>
      <x:c r="P53" s="235"/>
      <x:c r="Q53" s="235"/>
    </x:row>
    <x:row r="54">
      <x:c r="A54" s="235"/>
      <x:c r="B54" s="235"/>
      <x:c r="C54" s="235"/>
      <x:c r="D54" s="235"/>
      <x:c r="E54" s="235"/>
      <x:c r="F54" s="235"/>
      <x:c r="G54" s="235"/>
      <x:c r="H54" s="235"/>
      <x:c r="I54" s="235"/>
      <x:c r="J54" s="235"/>
      <x:c r="K54" s="235"/>
      <x:c r="L54" s="235"/>
      <x:c r="M54" s="235"/>
      <x:c r="N54" s="235"/>
      <x:c r="O54" s="235"/>
      <x:c r="P54" s="235"/>
      <x:c r="Q54" s="235"/>
    </x:row>
    <x:row r="55">
      <x:c r="A55" s="235"/>
      <x:c r="B55" s="235"/>
      <x:c r="C55" s="235"/>
      <x:c r="D55" s="235"/>
      <x:c r="E55" s="235"/>
      <x:c r="F55" s="235"/>
      <x:c r="G55" s="235"/>
      <x:c r="H55" s="235"/>
      <x:c r="I55" s="235"/>
      <x:c r="J55" s="235"/>
      <x:c r="K55" s="235"/>
      <x:c r="L55" s="235"/>
      <x:c r="M55" s="235"/>
      <x:c r="N55" s="235"/>
      <x:c r="O55" s="235"/>
      <x:c r="P55" s="235"/>
      <x:c r="Q55" s="235"/>
    </x:row>
    <x:row r="56">
      <x:c r="A56" s="235"/>
      <x:c r="B56" s="235"/>
      <x:c r="C56" s="235"/>
      <x:c r="D56" s="235"/>
      <x:c r="E56" s="235"/>
      <x:c r="F56" s="235"/>
      <x:c r="G56" s="235"/>
      <x:c r="H56" s="235"/>
      <x:c r="I56" s="235"/>
      <x:c r="J56" s="235"/>
      <x:c r="K56" s="235"/>
      <x:c r="L56" s="235"/>
      <x:c r="M56" s="235"/>
      <x:c r="N56" s="235"/>
      <x:c r="O56" s="235"/>
      <x:c r="P56" s="235"/>
      <x:c r="Q56" s="235"/>
    </x:row>
    <x:row r="57">
      <x:c r="A57" s="235"/>
      <x:c r="B57" s="235"/>
      <x:c r="C57" s="235"/>
      <x:c r="D57" s="235"/>
      <x:c r="E57" s="235"/>
      <x:c r="F57" s="235"/>
      <x:c r="G57" s="235"/>
      <x:c r="H57" s="235"/>
      <x:c r="I57" s="235"/>
      <x:c r="J57" s="235"/>
      <x:c r="K57" s="235"/>
      <x:c r="L57" s="235"/>
      <x:c r="M57" s="235"/>
      <x:c r="N57" s="235"/>
      <x:c r="O57" s="235"/>
      <x:c r="P57" s="235"/>
      <x:c r="Q57" s="235"/>
    </x:row>
    <x:row r="58">
      <x:c r="A58" s="235"/>
      <x:c r="B58" s="235"/>
      <x:c r="C58" s="235"/>
      <x:c r="D58" s="235"/>
      <x:c r="E58" s="235"/>
      <x:c r="F58" s="235"/>
      <x:c r="G58" s="235"/>
      <x:c r="H58" s="235"/>
      <x:c r="I58" s="235"/>
      <x:c r="J58" s="235"/>
      <x:c r="K58" s="235"/>
      <x:c r="L58" s="235"/>
      <x:c r="M58" s="235"/>
      <x:c r="N58" s="235"/>
      <x:c r="O58" s="235"/>
      <x:c r="P58" s="235"/>
      <x:c r="Q58" s="235"/>
    </x:row>
    <x:row r="59">
      <x:c r="A59" s="235"/>
      <x:c r="B59" s="235"/>
      <x:c r="C59" s="235"/>
      <x:c r="D59" s="235"/>
      <x:c r="E59" s="235"/>
      <x:c r="F59" s="235"/>
      <x:c r="G59" s="235"/>
      <x:c r="H59" s="235"/>
      <x:c r="I59" s="235"/>
      <x:c r="J59" s="235"/>
      <x:c r="K59" s="235"/>
      <x:c r="L59" s="235"/>
      <x:c r="M59" s="235"/>
      <x:c r="N59" s="235"/>
      <x:c r="O59" s="235"/>
      <x:c r="P59" s="235"/>
      <x:c r="Q59" s="235"/>
    </x:row>
    <x:row r="60">
      <x:c r="A60" s="235"/>
      <x:c r="B60" s="235"/>
      <x:c r="C60" s="235"/>
      <x:c r="D60" s="235"/>
      <x:c r="E60" s="235"/>
      <x:c r="F60" s="235"/>
      <x:c r="G60" s="235"/>
      <x:c r="H60" s="235"/>
      <x:c r="I60" s="235"/>
      <x:c r="J60" s="235"/>
      <x:c r="K60" s="235"/>
      <x:c r="L60" s="235"/>
      <x:c r="M60" s="235"/>
      <x:c r="N60" s="235"/>
      <x:c r="O60" s="235"/>
      <x:c r="P60" s="235"/>
      <x:c r="Q60" s="235"/>
    </x:row>
  </x:sheetData>
  <x:mergeCells>
    <x:mergeCell ref="A1:H1"/>
    <x:mergeCell ref="A2:H2"/>
    <x:mergeCell ref="A5:G5"/>
    <x:mergeCell ref="A19:G19"/>
  </x:mergeCells>
  <x:conditionalFormatting sqref="C16:G16">
    <x:cfRule type="cellIs" dxfId="0" priority="1" operator="lessThan">
      <x:formula>0</x:formula>
    </x:cfRule>
  </x:conditionalFormatting>
  <x:conditionalFormatting sqref="C39:G39">
    <x:cfRule type="cellIs" dxfId="1" priority="2" operator="lessThan">
      <x:formula>2</x:formula>
    </x:cfRule>
  </x:conditionalFormatting>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40"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3" hidden="0" customWidth="1"/>
  </x:cols>
  <x:sheetData>
    <x:row r="1" ht="31" customHeight="1">
      <x:c r="A1" s="277" t="str">
        <x:v>Morrisons | Downside</x:v>
      </x:c>
      <x:c r="B1" s="278" t="str">
        <x:v>Morrisons | Downside</x:v>
      </x:c>
      <x:c r="C1" s="278" t="str">
        <x:v>Morrisons | Downside</x:v>
      </x:c>
      <x:c r="D1" s="278" t="str">
        <x:v>Morrisons | Downside</x:v>
      </x:c>
      <x:c r="E1" s="278" t="str">
        <x:v>Morrisons | Downside</x:v>
      </x:c>
      <x:c r="F1" s="278" t="str">
        <x:v>Morrisons | Downside</x:v>
      </x:c>
      <x:c r="G1" s="279" t="str">
        <x:v>Morrisons | Downside</x:v>
      </x:c>
      <x:c r="H1" s="5" t="str">
        <x:v>Morrisons | Downside</x:v>
      </x:c>
      <x:c r="I1" s="233"/>
      <x:c r="J1" s="233"/>
      <x:c r="K1" s="233"/>
      <x:c r="L1" s="233"/>
      <x:c r="M1" s="233"/>
      <x:c r="N1" s="233"/>
      <x:c r="O1" s="233"/>
      <x:c r="P1" s="233"/>
      <x:c r="Q1" s="233"/>
    </x:row>
    <x:row r="2" ht="24" customHeight="1">
      <x:c r="A2" s="280" t="str">
        <x:v>Formula-driven operating cash flow, liquidity and debt paydown. £m unless stated.</x:v>
      </x:c>
      <x:c r="B2" s="281" t="str">
        <x:v>Formula-driven operating cash flow, liquidity and debt paydown. £m unless stated.</x:v>
      </x:c>
      <x:c r="C2" s="281" t="str">
        <x:v>Formula-driven operating cash flow, liquidity and debt paydown. £m unless stated.</x:v>
      </x:c>
      <x:c r="D2" s="281" t="str">
        <x:v>Formula-driven operating cash flow, liquidity and debt paydown. £m unless stated.</x:v>
      </x:c>
      <x:c r="E2" s="281" t="str">
        <x:v>Formula-driven operating cash flow, liquidity and debt paydown. £m unless stated.</x:v>
      </x:c>
      <x:c r="F2" s="281" t="str">
        <x:v>Formula-driven operating cash flow, liquidity and debt paydown. £m unless stated.</x:v>
      </x:c>
      <x:c r="G2" s="282" t="str">
        <x:v>Formula-driven operating cash flow, liquidity and debt paydown. £m unless stated.</x:v>
      </x:c>
      <x:c r="H2" s="234" t="str">
        <x:v>Formula-driven operating cash flow, liquidity and debt paydown. £m unless stated.</x:v>
      </x:c>
      <x:c r="I2" s="235"/>
      <x:c r="J2" s="235"/>
      <x:c r="K2" s="235"/>
      <x:c r="L2" s="235"/>
      <x:c r="M2" s="235"/>
      <x:c r="N2" s="235"/>
      <x:c r="O2" s="235"/>
      <x:c r="P2" s="235"/>
      <x:c r="Q2" s="235"/>
    </x:row>
    <x:row r="3">
      <x:c r="A3" s="283"/>
      <x:c r="B3" s="284"/>
      <x:c r="C3" s="284"/>
      <x:c r="D3" s="284"/>
      <x:c r="E3" s="284"/>
      <x:c r="F3" s="284"/>
      <x:c r="G3" s="285"/>
      <x:c r="H3" s="235"/>
      <x:c r="I3" s="235"/>
      <x:c r="J3" s="235"/>
      <x:c r="K3" s="235"/>
      <x:c r="L3" s="235"/>
      <x:c r="M3" s="235"/>
      <x:c r="N3" s="235"/>
      <x:c r="O3" s="235"/>
      <x:c r="P3" s="235"/>
      <x:c r="Q3" s="235"/>
    </x:row>
    <x:row r="4">
      <x:c r="A4" s="283"/>
      <x:c r="B4" s="286" t="str">
        <x:v>2025A</x:v>
      </x:c>
      <x:c r="C4" s="286" t="str">
        <x:v>2026E</x:v>
      </x:c>
      <x:c r="D4" s="286" t="str">
        <x:v>2027E</x:v>
      </x:c>
      <x:c r="E4" s="286" t="str">
        <x:v>2028E</x:v>
      </x:c>
      <x:c r="F4" s="286" t="str">
        <x:v>2029E</x:v>
      </x:c>
      <x:c r="G4" s="287" t="str">
        <x:v>2030E</x:v>
      </x:c>
      <x:c r="H4" s="235"/>
      <x:c r="I4" s="235"/>
      <x:c r="J4" s="235"/>
      <x:c r="K4" s="235"/>
      <x:c r="L4" s="235"/>
      <x:c r="M4" s="235"/>
      <x:c r="N4" s="235"/>
      <x:c r="O4" s="235"/>
      <x:c r="P4" s="235"/>
      <x:c r="Q4" s="235"/>
    </x:row>
    <x:row r="5">
      <x:c r="A5" s="288" t="str">
        <x:v>Operating Forecast</x:v>
      </x:c>
      <x:c r="B5" s="289" t="str">
        <x:v>Operating Forecast</x:v>
      </x:c>
      <x:c r="C5" s="289" t="str">
        <x:v>Operating Forecast</x:v>
      </x:c>
      <x:c r="D5" s="289" t="str">
        <x:v>Operating Forecast</x:v>
      </x:c>
      <x:c r="E5" s="289" t="str">
        <x:v>Operating Forecast</x:v>
      </x:c>
      <x:c r="F5" s="289" t="str">
        <x:v>Operating Forecast</x:v>
      </x:c>
      <x:c r="G5" s="290" t="str">
        <x:v>Operating Forecast</x:v>
      </x:c>
      <x:c r="H5" s="235"/>
      <x:c r="I5" s="235"/>
      <x:c r="J5" s="235"/>
      <x:c r="K5" s="235"/>
      <x:c r="L5" s="235"/>
      <x:c r="M5" s="235"/>
      <x:c r="N5" s="235"/>
      <x:c r="O5" s="235"/>
      <x:c r="P5" s="235"/>
      <x:c r="Q5" s="235"/>
    </x:row>
    <x:row r="6">
      <x:c r="A6" s="291" t="str">
        <x:v>Revenue</x:v>
      </x:c>
      <x:c r="B6" s="292" t="n">
        <x:f>'Historical'!D6</x:f>
        <x:v>15800</x:v>
      </x:c>
      <x:c r="C6" s="293" t="n">
        <x:f>ROUND(B6*(1+'Assumptions'!B37),0)</x:f>
        <x:v>15800</x:v>
      </x:c>
      <x:c r="D6" s="293" t="n">
        <x:f>ROUND(C6*(1+'Assumptions'!C37),0)</x:f>
        <x:v>15642</x:v>
      </x:c>
      <x:c r="E6" s="293" t="n">
        <x:f>ROUND(D6*(1+'Assumptions'!D37),0)</x:f>
        <x:v>15642</x:v>
      </x:c>
      <x:c r="F6" s="293" t="n">
        <x:f>ROUND(E6*(1+'Assumptions'!E37),0)</x:f>
        <x:v>15798</x:v>
      </x:c>
      <x:c r="G6" s="294" t="n">
        <x:f>ROUND(F6*(1+'Assumptions'!F37),0)</x:f>
        <x:v>16035</x:v>
      </x:c>
      <x:c r="H6" s="235"/>
      <x:c r="I6" s="235"/>
      <x:c r="J6" s="235"/>
      <x:c r="K6" s="235"/>
      <x:c r="L6" s="235"/>
      <x:c r="M6" s="235"/>
      <x:c r="N6" s="235"/>
      <x:c r="O6" s="235"/>
      <x:c r="P6" s="235"/>
      <x:c r="Q6" s="235"/>
    </x:row>
    <x:row r="7">
      <x:c r="A7" s="291" t="str">
        <x:v>Revenue growth</x:v>
      </x:c>
      <x:c r="B7" s="295" t="n">
        <x:f>'Historical'!D7</x:f>
        <x:v>0.0327</x:v>
      </x:c>
      <x:c r="C7" s="296" t="n">
        <x:f>'Assumptions'!B37</x:f>
        <x:v>0</x:v>
      </x:c>
      <x:c r="D7" s="296" t="n">
        <x:f>'Assumptions'!C37</x:f>
        <x:v>-0.01</x:v>
      </x:c>
      <x:c r="E7" s="296" t="n">
        <x:f>'Assumptions'!D37</x:f>
        <x:v>0</x:v>
      </x:c>
      <x:c r="F7" s="296" t="n">
        <x:f>'Assumptions'!E37</x:f>
        <x:v>0.01</x:v>
      </x:c>
      <x:c r="G7" s="297" t="n">
        <x:f>'Assumptions'!F37</x:f>
        <x:v>0.015</x:v>
      </x:c>
      <x:c r="H7" s="235"/>
      <x:c r="I7" s="235"/>
      <x:c r="J7" s="235"/>
      <x:c r="K7" s="235"/>
      <x:c r="L7" s="235"/>
      <x:c r="M7" s="235"/>
      <x:c r="N7" s="235"/>
      <x:c r="O7" s="235"/>
      <x:c r="P7" s="235"/>
      <x:c r="Q7" s="235"/>
    </x:row>
    <x:row r="8">
      <x:c r="A8" s="291" t="str">
        <x:v>EBITDA margin</x:v>
      </x:c>
      <x:c r="B8" s="295" t="n">
        <x:f>'Historical'!D9</x:f>
        <x:v>0.0528</x:v>
      </x:c>
      <x:c r="C8" s="296" t="n">
        <x:f>'Assumptions'!B38</x:f>
        <x:v>0.0475</x:v>
      </x:c>
      <x:c r="D8" s="296" t="n">
        <x:f>'Assumptions'!C38</x:f>
        <x:v>0.0465</x:v>
      </x:c>
      <x:c r="E8" s="296" t="n">
        <x:f>'Assumptions'!D38</x:f>
        <x:v>0.0475</x:v>
      </x:c>
      <x:c r="F8" s="296" t="n">
        <x:f>'Assumptions'!E38</x:f>
        <x:v>0.049</x:v>
      </x:c>
      <x:c r="G8" s="297" t="n">
        <x:f>'Assumptions'!F38</x:f>
        <x:v>0.05</x:v>
      </x:c>
      <x:c r="H8" s="235"/>
      <x:c r="I8" s="235"/>
      <x:c r="J8" s="235"/>
      <x:c r="K8" s="235"/>
      <x:c r="L8" s="235"/>
      <x:c r="M8" s="235"/>
      <x:c r="N8" s="235"/>
      <x:c r="O8" s="235"/>
      <x:c r="P8" s="235"/>
      <x:c r="Q8" s="235"/>
    </x:row>
    <x:row r="9">
      <x:c r="A9" s="291" t="str">
        <x:v>EBITDA</x:v>
      </x:c>
      <x:c r="B9" s="298" t="n">
        <x:f>'Historical'!D8</x:f>
        <x:v>835</x:v>
      </x:c>
      <x:c r="C9" s="299" t="n">
        <x:f>ROUND(C6*C8,0)</x:f>
        <x:v>751</x:v>
      </x:c>
      <x:c r="D9" s="299" t="n">
        <x:f>ROUND(D6*D8,0)</x:f>
        <x:v>727</x:v>
      </x:c>
      <x:c r="E9" s="299" t="n">
        <x:f>ROUND(E6*E8,0)</x:f>
        <x:v>743</x:v>
      </x:c>
      <x:c r="F9" s="299" t="n">
        <x:f>ROUND(F6*F8,0)</x:f>
        <x:v>774</x:v>
      </x:c>
      <x:c r="G9" s="300" t="n">
        <x:f>ROUND(G6*G8,0)</x:f>
        <x:v>802</x:v>
      </x:c>
      <x:c r="H9" s="235"/>
      <x:c r="I9" s="235"/>
      <x:c r="J9" s="235"/>
      <x:c r="K9" s="235"/>
      <x:c r="L9" s="235"/>
      <x:c r="M9" s="235"/>
      <x:c r="N9" s="235"/>
      <x:c r="O9" s="235"/>
      <x:c r="P9" s="235"/>
      <x:c r="Q9" s="235"/>
    </x:row>
    <x:row r="10">
      <x:c r="A10" s="291" t="str">
        <x:v>Capital expenditure</x:v>
      </x:c>
      <x:c r="B10" s="301"/>
      <x:c r="C10" s="299" t="n">
        <x:f>-ROUND(C6*'Assumptions'!B39,0)</x:f>
        <x:v>-300</x:v>
      </x:c>
      <x:c r="D10" s="299" t="n">
        <x:f>-ROUND(D6*'Assumptions'!C39,0)</x:f>
        <x:v>-297</x:v>
      </x:c>
      <x:c r="E10" s="299" t="n">
        <x:f>-ROUND(E6*'Assumptions'!D39,0)</x:f>
        <x:v>-313</x:v>
      </x:c>
      <x:c r="F10" s="299" t="n">
        <x:f>-ROUND(F6*'Assumptions'!E39,0)</x:f>
        <x:v>-332</x:v>
      </x:c>
      <x:c r="G10" s="300" t="n">
        <x:f>-ROUND(G6*'Assumptions'!F39,0)</x:f>
        <x:v>-353</x:v>
      </x:c>
      <x:c r="H10" s="235"/>
      <x:c r="I10" s="235"/>
      <x:c r="J10" s="235"/>
      <x:c r="K10" s="235"/>
      <x:c r="L10" s="235"/>
      <x:c r="M10" s="235"/>
      <x:c r="N10" s="235"/>
      <x:c r="O10" s="235"/>
      <x:c r="P10" s="235"/>
      <x:c r="Q10" s="235"/>
    </x:row>
    <x:row r="11">
      <x:c r="A11" s="291" t="str">
        <x:v>Debt cash interest</x:v>
      </x:c>
      <x:c r="B11" s="301"/>
      <x:c r="C11" s="299" t="n">
        <x:f>-ROUND(C21*'Assumptions'!$B$13+C24*'Assumptions'!$B$16+C27*'Assumptions'!$B$18+C30*'Assumptions'!$B$11,0)</x:f>
        <x:v>-271</x:v>
      </x:c>
      <x:c r="D11" s="299" t="n">
        <x:f>-ROUND(D21*'Assumptions'!$B$13+D24*'Assumptions'!$B$16+D27*'Assumptions'!$B$18+D30*'Assumptions'!$B$11,0)</x:f>
        <x:v>-269</x:v>
      </x:c>
      <x:c r="E11" s="299" t="n">
        <x:f>-ROUND(E21*'Assumptions'!$B$13+E24*'Assumptions'!$B$16+E27*'Assumptions'!$B$18+E30*'Assumptions'!$B$11,0)</x:f>
        <x:v>-274</x:v>
      </x:c>
      <x:c r="F11" s="299" t="n">
        <x:f>-ROUND(F21*'Assumptions'!$B$13+F24*'Assumptions'!$B$16+F27*'Assumptions'!$B$18+F30*'Assumptions'!$B$11,0)</x:f>
        <x:v>-281</x:v>
      </x:c>
      <x:c r="G11" s="300" t="n">
        <x:f>-ROUND(G21*'Assumptions'!$B$13+G24*'Assumptions'!$B$16+G27*'Assumptions'!$B$18+G30*'Assumptions'!$B$11,0)</x:f>
        <x:v>-288</x:v>
      </x:c>
      <x:c r="H11" s="235"/>
      <x:c r="I11" s="235"/>
      <x:c r="J11" s="235"/>
      <x:c r="K11" s="235"/>
      <x:c r="L11" s="235"/>
      <x:c r="M11" s="235"/>
      <x:c r="N11" s="235"/>
      <x:c r="O11" s="235"/>
      <x:c r="P11" s="235"/>
      <x:c r="Q11" s="235"/>
    </x:row>
    <x:row r="12">
      <x:c r="A12" s="291" t="str">
        <x:v>Lease interest</x:v>
      </x:c>
      <x:c r="B12" s="301"/>
      <x:c r="C12" s="299" t="n">
        <x:f>-'Assumptions'!$B$21</x:f>
        <x:v>-105</x:v>
      </x:c>
      <x:c r="D12" s="299" t="n">
        <x:f>ROUND(C12*(1+'Assumptions'!$B$22),0)</x:f>
        <x:v>-107</x:v>
      </x:c>
      <x:c r="E12" s="299" t="n">
        <x:f>ROUND(D12*(1+'Assumptions'!$B$22),0)</x:f>
        <x:v>-109</x:v>
      </x:c>
      <x:c r="F12" s="299" t="n">
        <x:f>ROUND(E12*(1+'Assumptions'!$B$22),0)</x:f>
        <x:v>-111</x:v>
      </x:c>
      <x:c r="G12" s="300" t="n">
        <x:f>ROUND(F12*(1+'Assumptions'!$B$22),0)</x:f>
        <x:v>-113</x:v>
      </x:c>
      <x:c r="H12" s="235"/>
      <x:c r="I12" s="235"/>
      <x:c r="J12" s="235"/>
      <x:c r="K12" s="235"/>
      <x:c r="L12" s="235"/>
      <x:c r="M12" s="235"/>
      <x:c r="N12" s="235"/>
      <x:c r="O12" s="235"/>
      <x:c r="P12" s="235"/>
      <x:c r="Q12" s="235"/>
    </x:row>
    <x:row r="13">
      <x:c r="A13" s="291" t="str">
        <x:v>Cash taxes</x:v>
      </x:c>
      <x:c r="B13" s="301"/>
      <x:c r="C13" s="299" t="n">
        <x:f>-ROUND(C9*'Assumptions'!B40,0)</x:f>
        <x:v>0</x:v>
      </x:c>
      <x:c r="D13" s="299" t="n">
        <x:f>-ROUND(D9*'Assumptions'!C40,0)</x:f>
        <x:v>0</x:v>
      </x:c>
      <x:c r="E13" s="299" t="n">
        <x:f>-ROUND(E9*'Assumptions'!D40,0)</x:f>
        <x:v>0</x:v>
      </x:c>
      <x:c r="F13" s="299" t="n">
        <x:f>-ROUND(F9*'Assumptions'!E40,0)</x:f>
        <x:v>-8</x:v>
      </x:c>
      <x:c r="G13" s="300" t="n">
        <x:f>-ROUND(G9*'Assumptions'!F40,0)</x:f>
        <x:v>-16</x:v>
      </x:c>
      <x:c r="H13" s="235"/>
      <x:c r="I13" s="235"/>
      <x:c r="J13" s="235"/>
      <x:c r="K13" s="235"/>
      <x:c r="L13" s="235"/>
      <x:c r="M13" s="235"/>
      <x:c r="N13" s="235"/>
      <x:c r="O13" s="235"/>
      <x:c r="P13" s="235"/>
      <x:c r="Q13" s="235"/>
    </x:row>
    <x:row r="14">
      <x:c r="A14" s="291" t="str">
        <x:v>Working capital &amp; other cash inflow</x:v>
      </x:c>
      <x:c r="B14" s="301"/>
      <x:c r="C14" s="299" t="n">
        <x:f>'Assumptions'!B41</x:f>
        <x:v>20</x:v>
      </x:c>
      <x:c r="D14" s="299" t="n">
        <x:f>'Assumptions'!C41</x:f>
        <x:v>0</x:v>
      </x:c>
      <x:c r="E14" s="299" t="n">
        <x:f>'Assumptions'!D41</x:f>
        <x:v>-20</x:v>
      </x:c>
      <x:c r="F14" s="299" t="n">
        <x:f>'Assumptions'!E41</x:f>
        <x:v>0</x:v>
      </x:c>
      <x:c r="G14" s="300" t="n">
        <x:f>'Assumptions'!F41</x:f>
        <x:v>10</x:v>
      </x:c>
      <x:c r="H14" s="235"/>
      <x:c r="I14" s="235"/>
      <x:c r="J14" s="235"/>
      <x:c r="K14" s="235"/>
      <x:c r="L14" s="235"/>
      <x:c r="M14" s="235"/>
      <x:c r="N14" s="235"/>
      <x:c r="O14" s="235"/>
      <x:c r="P14" s="235"/>
      <x:c r="Q14" s="235"/>
    </x:row>
    <x:row r="15">
      <x:c r="A15" s="291" t="str">
        <x:v>Lease principal</x:v>
      </x:c>
      <x:c r="B15" s="301"/>
      <x:c r="C15" s="299" t="n">
        <x:f>-'Assumptions'!B42</x:f>
        <x:v>-120</x:v>
      </x:c>
      <x:c r="D15" s="299" t="n">
        <x:f>-'Assumptions'!C42</x:f>
        <x:v>-123</x:v>
      </x:c>
      <x:c r="E15" s="299" t="n">
        <x:f>-'Assumptions'!D42</x:f>
        <x:v>-126</x:v>
      </x:c>
      <x:c r="F15" s="299" t="n">
        <x:f>-'Assumptions'!E42</x:f>
        <x:v>-129</x:v>
      </x:c>
      <x:c r="G15" s="300" t="n">
        <x:f>-'Assumptions'!F42</x:f>
        <x:v>-132</x:v>
      </x:c>
      <x:c r="H15" s="235"/>
      <x:c r="I15" s="235"/>
      <x:c r="J15" s="235"/>
      <x:c r="K15" s="235"/>
      <x:c r="L15" s="235"/>
      <x:c r="M15" s="235"/>
      <x:c r="N15" s="235"/>
      <x:c r="O15" s="235"/>
      <x:c r="P15" s="235"/>
      <x:c r="Q15" s="235"/>
    </x:row>
    <x:row r="16">
      <x:c r="A16" s="302" t="str">
        <x:v>Cash flow before debt paydown</x:v>
      </x:c>
      <x:c r="B16" s="303"/>
      <x:c r="C16" s="304" t="n">
        <x:f>ROUND(SUM(C9:C15),0)</x:f>
        <x:v>-25</x:v>
      </x:c>
      <x:c r="D16" s="304" t="n">
        <x:f>ROUND(SUM(D9:D15),0)</x:f>
        <x:v>-69</x:v>
      </x:c>
      <x:c r="E16" s="304" t="n">
        <x:f>ROUND(SUM(E9:E15),0)</x:f>
        <x:v>-99</x:v>
      </x:c>
      <x:c r="F16" s="304" t="n">
        <x:f>ROUND(SUM(F9:F15),0)</x:f>
        <x:v>-87</x:v>
      </x:c>
      <x:c r="G16" s="305" t="n">
        <x:f>ROUND(SUM(G9:G15),0)</x:f>
        <x:v>-90</x:v>
      </x:c>
      <x:c r="H16" s="235"/>
      <x:c r="I16" s="235"/>
      <x:c r="J16" s="235"/>
      <x:c r="K16" s="235"/>
      <x:c r="L16" s="235"/>
      <x:c r="M16" s="235"/>
      <x:c r="N16" s="235"/>
      <x:c r="O16" s="235"/>
      <x:c r="P16" s="235"/>
      <x:c r="Q16" s="235"/>
    </x:row>
    <x:row r="17">
      <x:c r="A17" s="302" t="str">
        <x:v>Cash conversion / EBITDA</x:v>
      </x:c>
      <x:c r="B17" s="306"/>
      <x:c r="C17" s="307" t="n">
        <x:f>C16/C9</x:f>
        <x:v>-0.033288948069241014</x:v>
      </x:c>
      <x:c r="D17" s="307" t="n">
        <x:f>D16/D9</x:f>
        <x:v>-0.09491059147180192</x:v>
      </x:c>
      <x:c r="E17" s="307" t="n">
        <x:f>E16/E9</x:f>
        <x:v>-0.13324360699865412</x:v>
      </x:c>
      <x:c r="F17" s="307" t="n">
        <x:f>F16/F9</x:f>
        <x:v>-0.1124031007751938</x:v>
      </x:c>
      <x:c r="G17" s="308" t="n">
        <x:f>G16/G9</x:f>
        <x:v>-0.11221945137157108</x:v>
      </x:c>
      <x:c r="H17" s="235"/>
      <x:c r="I17" s="235"/>
      <x:c r="J17" s="235"/>
      <x:c r="K17" s="235"/>
      <x:c r="L17" s="235"/>
      <x:c r="M17" s="235"/>
      <x:c r="N17" s="235"/>
      <x:c r="O17" s="235"/>
      <x:c r="P17" s="235"/>
      <x:c r="Q17" s="235"/>
    </x:row>
    <x:row r="18">
      <x:c r="A18" s="291"/>
      <x:c r="B18" s="284"/>
      <x:c r="C18" s="309"/>
      <x:c r="D18" s="309"/>
      <x:c r="E18" s="309"/>
      <x:c r="F18" s="309"/>
      <x:c r="G18" s="310"/>
      <x:c r="H18" s="235"/>
      <x:c r="I18" s="235"/>
      <x:c r="J18" s="235"/>
      <x:c r="K18" s="235"/>
      <x:c r="L18" s="235"/>
      <x:c r="M18" s="235"/>
      <x:c r="N18" s="235"/>
      <x:c r="O18" s="235"/>
      <x:c r="P18" s="235"/>
      <x:c r="Q18" s="235"/>
    </x:row>
    <x:row r="19">
      <x:c r="A19" s="288" t="str">
        <x:v>Debt Schedule &amp; Liquidity</x:v>
      </x:c>
      <x:c r="B19" s="289" t="str">
        <x:v>Debt Schedule &amp; Liquidity</x:v>
      </x:c>
      <x:c r="C19" s="311" t="str">
        <x:v>Debt Schedule &amp; Liquidity</x:v>
      </x:c>
      <x:c r="D19" s="311" t="str">
        <x:v>Debt Schedule &amp; Liquidity</x:v>
      </x:c>
      <x:c r="E19" s="311" t="str">
        <x:v>Debt Schedule &amp; Liquidity</x:v>
      </x:c>
      <x:c r="F19" s="311" t="str">
        <x:v>Debt Schedule &amp; Liquidity</x:v>
      </x:c>
      <x:c r="G19" s="312" t="str">
        <x:v>Debt Schedule &amp; Liquidity</x:v>
      </x:c>
      <x:c r="H19" s="235"/>
      <x:c r="I19" s="235"/>
      <x:c r="J19" s="235"/>
      <x:c r="K19" s="235"/>
      <x:c r="L19" s="235"/>
      <x:c r="M19" s="235"/>
      <x:c r="N19" s="235"/>
      <x:c r="O19" s="235"/>
      <x:c r="P19" s="235"/>
      <x:c r="Q19" s="235"/>
    </x:row>
    <x:row r="20">
      <x:c r="A20" s="291" t="str">
        <x:v>Opening cash</x:v>
      </x:c>
      <x:c r="B20" s="284"/>
      <x:c r="C20" s="299" t="n">
        <x:f>'Assumptions'!$B$8</x:f>
        <x:v>350</x:v>
      </x:c>
      <x:c r="D20" s="299" t="n">
        <x:f>ROUND(C35,1)</x:f>
        <x:v>300</x:v>
      </x:c>
      <x:c r="E20" s="299" t="n">
        <x:f>ROUND(D35,1)</x:f>
        <x:v>300</x:v>
      </x:c>
      <x:c r="F20" s="299" t="n">
        <x:f>ROUND(E35,1)</x:f>
        <x:v>300</x:v>
      </x:c>
      <x:c r="G20" s="300" t="n">
        <x:f>ROUND(F35,1)</x:f>
        <x:v>300</x:v>
      </x:c>
      <x:c r="H20" s="235"/>
      <x:c r="I20" s="235"/>
      <x:c r="J20" s="235"/>
      <x:c r="K20" s="235"/>
      <x:c r="L20" s="235"/>
      <x:c r="M20" s="235"/>
      <x:c r="N20" s="235"/>
      <x:c r="O20" s="235"/>
      <x:c r="P20" s="235"/>
      <x:c r="Q20" s="235"/>
    </x:row>
    <x:row r="21">
      <x:c r="A21" s="291" t="str">
        <x:v>Opening term loans</x:v>
      </x:c>
      <x:c r="B21" s="284"/>
      <x:c r="C21" s="299" t="n">
        <x:f>'Assumptions'!$B$12</x:f>
        <x:v>1650</x:v>
      </x:c>
      <x:c r="D21" s="299" t="n">
        <x:f>ROUND(C23,1)</x:f>
        <x:v>1633.5</x:v>
      </x:c>
      <x:c r="E21" s="299" t="n">
        <x:f>ROUND(D23,1)</x:f>
        <x:v>1617</x:v>
      </x:c>
      <x:c r="F21" s="299" t="n">
        <x:f>ROUND(E23,1)</x:f>
        <x:v>1600.5</x:v>
      </x:c>
      <x:c r="G21" s="300" t="n">
        <x:f>ROUND(F23,1)</x:f>
        <x:v>1584</x:v>
      </x:c>
      <x:c r="H21" s="235"/>
      <x:c r="I21" s="235"/>
      <x:c r="J21" s="235"/>
      <x:c r="K21" s="235"/>
      <x:c r="L21" s="235"/>
      <x:c r="M21" s="235"/>
      <x:c r="N21" s="235"/>
      <x:c r="O21" s="235"/>
      <x:c r="P21" s="235"/>
      <x:c r="Q21" s="235"/>
    </x:row>
    <x:row r="22">
      <x:c r="A22" s="291" t="str">
        <x:v>Mandatory term loan amortisation</x:v>
      </x:c>
      <x:c r="B22" s="284"/>
      <x:c r="C22" s="299" t="n">
        <x:f>-ROUND(MIN(C21,'Assumptions'!$B$12*'Assumptions'!$B$14),1)</x:f>
        <x:v>-16.5</x:v>
      </x:c>
      <x:c r="D22" s="299" t="n">
        <x:f>-ROUND(MIN(D21,'Assumptions'!$B$12*'Assumptions'!$B$14),1)</x:f>
        <x:v>-16.5</x:v>
      </x:c>
      <x:c r="E22" s="299" t="n">
        <x:f>-ROUND(MIN(E21,'Assumptions'!$B$12*'Assumptions'!$B$14),1)</x:f>
        <x:v>-16.5</x:v>
      </x:c>
      <x:c r="F22" s="299" t="n">
        <x:f>-ROUND(MIN(F21,'Assumptions'!$B$12*'Assumptions'!$B$14),1)</x:f>
        <x:v>-16.5</x:v>
      </x:c>
      <x:c r="G22" s="300" t="n">
        <x:f>-ROUND(MIN(G21,'Assumptions'!$B$12*'Assumptions'!$B$14),1)</x:f>
        <x:v>-16.5</x:v>
      </x:c>
      <x:c r="H22" s="235"/>
      <x:c r="I22" s="235"/>
      <x:c r="J22" s="235"/>
      <x:c r="K22" s="235"/>
      <x:c r="L22" s="235"/>
      <x:c r="M22" s="235"/>
      <x:c r="N22" s="235"/>
      <x:c r="O22" s="235"/>
      <x:c r="P22" s="235"/>
      <x:c r="Q22" s="235"/>
    </x:row>
    <x:row r="23">
      <x:c r="A23" s="291" t="str">
        <x:v>Closing term loans</x:v>
      </x:c>
      <x:c r="B23" s="284"/>
      <x:c r="C23" s="299" t="n">
        <x:f>ROUND(C21+C22+C34,1)</x:f>
        <x:v>1633.5</x:v>
      </x:c>
      <x:c r="D23" s="299" t="n">
        <x:f>ROUND(D21+D22+D34,1)</x:f>
        <x:v>1617</x:v>
      </x:c>
      <x:c r="E23" s="299" t="n">
        <x:f>ROUND(E21+E22+E34,1)</x:f>
        <x:v>1600.5</x:v>
      </x:c>
      <x:c r="F23" s="299" t="n">
        <x:f>ROUND(F21+F22+F34,1)</x:f>
        <x:v>1584</x:v>
      </x:c>
      <x:c r="G23" s="300" t="n">
        <x:f>ROUND(G21+G22+G34,1)</x:f>
        <x:v>1567.5</x:v>
      </x:c>
      <x:c r="H23" s="235"/>
      <x:c r="I23" s="235"/>
      <x:c r="J23" s="235"/>
      <x:c r="K23" s="235"/>
      <x:c r="L23" s="235"/>
      <x:c r="M23" s="235"/>
      <x:c r="N23" s="235"/>
      <x:c r="O23" s="235"/>
      <x:c r="P23" s="235"/>
      <x:c r="Q23" s="235"/>
    </x:row>
    <x:row r="24">
      <x:c r="A24" s="291" t="str">
        <x:v>Opening 2031 senior secured notes</x:v>
      </x:c>
      <x:c r="B24" s="284"/>
      <x:c r="C24" s="299" t="n">
        <x:f>'Assumptions'!$B$15</x:f>
        <x:v>930</x:v>
      </x:c>
      <x:c r="D24" s="299" t="n">
        <x:f>C26</x:f>
        <x:v>930</x:v>
      </x:c>
      <x:c r="E24" s="299" t="n">
        <x:f>D26</x:f>
        <x:v>930</x:v>
      </x:c>
      <x:c r="F24" s="299" t="n">
        <x:f>E26</x:f>
        <x:v>930</x:v>
      </x:c>
      <x:c r="G24" s="300" t="n">
        <x:f>F26</x:f>
        <x:v>930</x:v>
      </x:c>
      <x:c r="H24" s="235"/>
      <x:c r="I24" s="235"/>
      <x:c r="J24" s="235"/>
      <x:c r="K24" s="235"/>
      <x:c r="L24" s="235"/>
      <x:c r="M24" s="235"/>
      <x:c r="N24" s="235"/>
      <x:c r="O24" s="235"/>
      <x:c r="P24" s="235"/>
      <x:c r="Q24" s="235"/>
    </x:row>
    <x:row r="25">
      <x:c r="A25" s="291" t="str">
        <x:v>Scheduled notes amortisation</x:v>
      </x:c>
      <x:c r="B25" s="284"/>
      <x:c r="C25" s="299" t="n">
        <x:v>0</x:v>
      </x:c>
      <x:c r="D25" s="299" t="n">
        <x:v>0</x:v>
      </x:c>
      <x:c r="E25" s="299" t="n">
        <x:v>0</x:v>
      </x:c>
      <x:c r="F25" s="299" t="n">
        <x:v>0</x:v>
      </x:c>
      <x:c r="G25" s="300" t="n">
        <x:v>0</x:v>
      </x:c>
      <x:c r="H25" s="235"/>
      <x:c r="I25" s="235"/>
      <x:c r="J25" s="235"/>
      <x:c r="K25" s="235"/>
      <x:c r="L25" s="235"/>
      <x:c r="M25" s="235"/>
      <x:c r="N25" s="235"/>
      <x:c r="O25" s="235"/>
      <x:c r="P25" s="235"/>
      <x:c r="Q25" s="235"/>
    </x:row>
    <x:row r="26">
      <x:c r="A26" s="291" t="str">
        <x:v>Closing 2031 senior secured notes</x:v>
      </x:c>
      <x:c r="B26" s="284"/>
      <x:c r="C26" s="299" t="n">
        <x:f>ROUND(C24+C25,1)</x:f>
        <x:v>930</x:v>
      </x:c>
      <x:c r="D26" s="299" t="n">
        <x:f>ROUND(D24+D25,1)</x:f>
        <x:v>930</x:v>
      </x:c>
      <x:c r="E26" s="299" t="n">
        <x:f>ROUND(E24+E25,1)</x:f>
        <x:v>930</x:v>
      </x:c>
      <x:c r="F26" s="299" t="n">
        <x:f>ROUND(F24+F25,1)</x:f>
        <x:v>930</x:v>
      </x:c>
      <x:c r="G26" s="300" t="n">
        <x:f>ROUND(G24+G25,1)</x:f>
        <x:v>930</x:v>
      </x:c>
      <x:c r="H26" s="235"/>
      <x:c r="I26" s="235"/>
      <x:c r="J26" s="235"/>
      <x:c r="K26" s="235"/>
      <x:c r="L26" s="235"/>
      <x:c r="M26" s="235"/>
      <x:c r="N26" s="235"/>
      <x:c r="O26" s="235"/>
      <x:c r="P26" s="235"/>
      <x:c r="Q26" s="235"/>
    </x:row>
    <x:row r="27">
      <x:c r="A27" s="291" t="str">
        <x:v>Opening proposed refinancing facility</x:v>
      </x:c>
      <x:c r="B27" s="284"/>
      <x:c r="C27" s="299" t="n">
        <x:f>'Assumptions'!$B$17</x:f>
        <x:v>900</x:v>
      </x:c>
      <x:c r="D27" s="299" t="n">
        <x:f>C29</x:f>
        <x:v>891</x:v>
      </x:c>
      <x:c r="E27" s="299" t="n">
        <x:f>D29</x:f>
        <x:v>882</x:v>
      </x:c>
      <x:c r="F27" s="299" t="n">
        <x:f>E29</x:f>
        <x:v>873</x:v>
      </x:c>
      <x:c r="G27" s="300" t="n">
        <x:f>F29</x:f>
        <x:v>864</x:v>
      </x:c>
      <x:c r="H27" s="235"/>
      <x:c r="I27" s="235"/>
      <x:c r="J27" s="235"/>
      <x:c r="K27" s="235"/>
      <x:c r="L27" s="235"/>
      <x:c r="M27" s="235"/>
      <x:c r="N27" s="235"/>
      <x:c r="O27" s="235"/>
      <x:c r="P27" s="235"/>
      <x:c r="Q27" s="235"/>
    </x:row>
    <x:row r="28">
      <x:c r="A28" s="291" t="str">
        <x:v>Mandatory refinancing facility amortisation</x:v>
      </x:c>
      <x:c r="B28" s="284"/>
      <x:c r="C28" s="299" t="n">
        <x:f>-ROUND(MIN(C27,'Assumptions'!$B$17*'Assumptions'!$B$19),1)</x:f>
        <x:v>-9</x:v>
      </x:c>
      <x:c r="D28" s="299" t="n">
        <x:f>-ROUND(MIN(D27,'Assumptions'!$B$17*'Assumptions'!$B$19),1)</x:f>
        <x:v>-9</x:v>
      </x:c>
      <x:c r="E28" s="299" t="n">
        <x:f>-ROUND(MIN(E27,'Assumptions'!$B$17*'Assumptions'!$B$19),1)</x:f>
        <x:v>-9</x:v>
      </x:c>
      <x:c r="F28" s="299" t="n">
        <x:f>-ROUND(MIN(F27,'Assumptions'!$B$17*'Assumptions'!$B$19),1)</x:f>
        <x:v>-9</x:v>
      </x:c>
      <x:c r="G28" s="300" t="n">
        <x:f>-ROUND(MIN(G27,'Assumptions'!$B$17*'Assumptions'!$B$19),1)</x:f>
        <x:v>-9</x:v>
      </x:c>
      <x:c r="H28" s="235"/>
      <x:c r="I28" s="235"/>
      <x:c r="J28" s="235"/>
      <x:c r="K28" s="235"/>
      <x:c r="L28" s="235"/>
      <x:c r="M28" s="235"/>
      <x:c r="N28" s="235"/>
      <x:c r="O28" s="235"/>
      <x:c r="P28" s="235"/>
      <x:c r="Q28" s="235"/>
    </x:row>
    <x:row r="29">
      <x:c r="A29" s="291" t="str">
        <x:v>Closing proposed refinancing facility</x:v>
      </x:c>
      <x:c r="B29" s="284"/>
      <x:c r="C29" s="299" t="n">
        <x:f>ROUND(C27+C28,1)</x:f>
        <x:v>891</x:v>
      </x:c>
      <x:c r="D29" s="299" t="n">
        <x:f>ROUND(D27+D28,1)</x:f>
        <x:v>882</x:v>
      </x:c>
      <x:c r="E29" s="299" t="n">
        <x:f>ROUND(E27+E28,1)</x:f>
        <x:v>873</x:v>
      </x:c>
      <x:c r="F29" s="299" t="n">
        <x:f>ROUND(F27+F28,1)</x:f>
        <x:v>864</x:v>
      </x:c>
      <x:c r="G29" s="300" t="n">
        <x:f>ROUND(G27+G28,1)</x:f>
        <x:v>855</x:v>
      </x:c>
      <x:c r="H29" s="235"/>
      <x:c r="I29" s="235"/>
      <x:c r="J29" s="235"/>
      <x:c r="K29" s="235"/>
      <x:c r="L29" s="235"/>
      <x:c r="M29" s="235"/>
      <x:c r="N29" s="235"/>
      <x:c r="O29" s="235"/>
      <x:c r="P29" s="235"/>
      <x:c r="Q29" s="235"/>
    </x:row>
    <x:row r="30">
      <x:c r="A30" s="291" t="str">
        <x:v>Opening RCF</x:v>
      </x:c>
      <x:c r="B30" s="284"/>
      <x:c r="C30" s="299" t="n">
        <x:f>0</x:f>
        <x:v>0</x:v>
      </x:c>
      <x:c r="D30" s="299" t="n">
        <x:f>C33</x:f>
        <x:v>0.5</x:v>
      </x:c>
      <x:c r="E30" s="299" t="n">
        <x:f>D33</x:f>
        <x:v>95</x:v>
      </x:c>
      <x:c r="F30" s="299" t="n">
        <x:f>E33</x:f>
        <x:v>219.5</x:v>
      </x:c>
      <x:c r="G30" s="300" t="n">
        <x:f>F33</x:f>
        <x:v>332</x:v>
      </x:c>
      <x:c r="H30" s="235"/>
      <x:c r="I30" s="235"/>
      <x:c r="J30" s="235"/>
      <x:c r="K30" s="235"/>
      <x:c r="L30" s="235"/>
      <x:c r="M30" s="235"/>
      <x:c r="N30" s="235"/>
      <x:c r="O30" s="235"/>
      <x:c r="P30" s="235"/>
      <x:c r="Q30" s="235"/>
    </x:row>
    <x:row r="31">
      <x:c r="A31" s="291" t="str">
        <x:v>RCF draw</x:v>
      </x:c>
      <x:c r="B31" s="284"/>
      <x:c r="C31" s="299" t="n">
        <x:f>ROUND(MAX(0,'Assumptions'!$B$9-(C20+C16+C22+C28)),1)</x:f>
        <x:v>0.5</x:v>
      </x:c>
      <x:c r="D31" s="299" t="n">
        <x:f>ROUND(MAX(0,'Assumptions'!$B$9-(D20+D16+D22+D28)),1)</x:f>
        <x:v>94.5</x:v>
      </x:c>
      <x:c r="E31" s="299" t="n">
        <x:f>ROUND(MAX(0,'Assumptions'!$B$9-(E20+E16+E22+E28)),1)</x:f>
        <x:v>124.5</x:v>
      </x:c>
      <x:c r="F31" s="299" t="n">
        <x:f>ROUND(MAX(0,'Assumptions'!$B$9-(F20+F16+F22+F28)),1)</x:f>
        <x:v>112.5</x:v>
      </x:c>
      <x:c r="G31" s="300" t="n">
        <x:f>ROUND(MAX(0,'Assumptions'!$B$9-(G20+G16+G22+G28)),1)</x:f>
        <x:v>115.5</x:v>
      </x:c>
      <x:c r="H31" s="235"/>
      <x:c r="I31" s="235"/>
      <x:c r="J31" s="235"/>
      <x:c r="K31" s="235"/>
      <x:c r="L31" s="235"/>
      <x:c r="M31" s="235"/>
      <x:c r="N31" s="235"/>
      <x:c r="O31" s="235"/>
      <x:c r="P31" s="235"/>
      <x:c r="Q31" s="235"/>
    </x:row>
    <x:row r="32">
      <x:c r="A32" s="291" t="str">
        <x:v>RCF repayment</x:v>
      </x:c>
      <x:c r="B32" s="284"/>
      <x:c r="C32" s="299" t="n">
        <x:f>-ROUND(MIN(C30,MAX(0,C20+C16+C22+C28-'Assumptions'!$B$9)),1)</x:f>
        <x:v>0</x:v>
      </x:c>
      <x:c r="D32" s="299" t="n">
        <x:f>-ROUND(MIN(D30,MAX(0,D20+D16+D22+D28-'Assumptions'!$B$9)),1)</x:f>
        <x:v>0</x:v>
      </x:c>
      <x:c r="E32" s="299" t="n">
        <x:f>-ROUND(MIN(E30,MAX(0,E20+E16+E22+E28-'Assumptions'!$B$9)),1)</x:f>
        <x:v>0</x:v>
      </x:c>
      <x:c r="F32" s="299" t="n">
        <x:f>-ROUND(MIN(F30,MAX(0,F20+F16+F22+F28-'Assumptions'!$B$9)),1)</x:f>
        <x:v>0</x:v>
      </x:c>
      <x:c r="G32" s="300" t="n">
        <x:f>-ROUND(MIN(G30,MAX(0,G20+G16+G22+G28-'Assumptions'!$B$9)),1)</x:f>
        <x:v>0</x:v>
      </x:c>
      <x:c r="H32" s="235"/>
      <x:c r="I32" s="235"/>
      <x:c r="J32" s="235"/>
      <x:c r="K32" s="235"/>
      <x:c r="L32" s="235"/>
      <x:c r="M32" s="235"/>
      <x:c r="N32" s="235"/>
      <x:c r="O32" s="235"/>
      <x:c r="P32" s="235"/>
      <x:c r="Q32" s="235"/>
    </x:row>
    <x:row r="33">
      <x:c r="A33" s="291" t="str">
        <x:v>Closing RCF</x:v>
      </x:c>
      <x:c r="B33" s="284"/>
      <x:c r="C33" s="299" t="n">
        <x:f>ROUND(C30+C31+C32,1)</x:f>
        <x:v>0.5</x:v>
      </x:c>
      <x:c r="D33" s="299" t="n">
        <x:f>ROUND(D30+D31+D32,1)</x:f>
        <x:v>95</x:v>
      </x:c>
      <x:c r="E33" s="299" t="n">
        <x:f>ROUND(E30+E31+E32,1)</x:f>
        <x:v>219.5</x:v>
      </x:c>
      <x:c r="F33" s="299" t="n">
        <x:f>ROUND(F30+F31+F32,1)</x:f>
        <x:v>332</x:v>
      </x:c>
      <x:c r="G33" s="300" t="n">
        <x:f>ROUND(G30+G31+G32,1)</x:f>
        <x:v>447.5</x:v>
      </x:c>
      <x:c r="H33" s="235"/>
      <x:c r="I33" s="235"/>
      <x:c r="J33" s="235"/>
      <x:c r="K33" s="235"/>
      <x:c r="L33" s="235"/>
      <x:c r="M33" s="235"/>
      <x:c r="N33" s="235"/>
      <x:c r="O33" s="235"/>
      <x:c r="P33" s="235"/>
      <x:c r="Q33" s="235"/>
    </x:row>
    <x:row r="34">
      <x:c r="A34" s="291" t="str">
        <x:v>Excess cash flow sweep</x:v>
      </x:c>
      <x:c r="B34" s="284"/>
      <x:c r="C34" s="299" t="n">
        <x:f>-ROUND(MIN(C21+C22,MAX(0,(C20+C16+C22+C28+C31+C32-'Assumptions'!$B$9)*'Assumptions'!$B$20)),1)</x:f>
        <x:v>0</x:v>
      </x:c>
      <x:c r="D34" s="299" t="n">
        <x:f>-ROUND(MIN(D21+D22,MAX(0,(D20+D16+D22+D28+D31+D32-'Assumptions'!$B$9)*'Assumptions'!$B$20)),1)</x:f>
        <x:v>0</x:v>
      </x:c>
      <x:c r="E34" s="299" t="n">
        <x:f>-ROUND(MIN(E21+E22,MAX(0,(E20+E16+E22+E28+E31+E32-'Assumptions'!$B$9)*'Assumptions'!$B$20)),1)</x:f>
        <x:v>0</x:v>
      </x:c>
      <x:c r="F34" s="299" t="n">
        <x:f>-ROUND(MIN(F21+F22,MAX(0,(F20+F16+F22+F28+F31+F32-'Assumptions'!$B$9)*'Assumptions'!$B$20)),1)</x:f>
        <x:v>0</x:v>
      </x:c>
      <x:c r="G34" s="300" t="n">
        <x:f>-ROUND(MIN(G21+G22,MAX(0,(G20+G16+G22+G28+G31+G32-'Assumptions'!$B$9)*'Assumptions'!$B$20)),1)</x:f>
        <x:v>0</x:v>
      </x:c>
      <x:c r="H34" s="235"/>
      <x:c r="I34" s="235"/>
      <x:c r="J34" s="235"/>
      <x:c r="K34" s="235"/>
      <x:c r="L34" s="235"/>
      <x:c r="M34" s="235"/>
      <x:c r="N34" s="235"/>
      <x:c r="O34" s="235"/>
      <x:c r="P34" s="235"/>
      <x:c r="Q34" s="235"/>
    </x:row>
    <x:row r="35">
      <x:c r="A35" s="291" t="str">
        <x:v>Closing cash</x:v>
      </x:c>
      <x:c r="B35" s="284"/>
      <x:c r="C35" s="299" t="n">
        <x:f>ROUND(C20+C16+C22+C28+C31+C32+C34,1)</x:f>
        <x:v>300</x:v>
      </x:c>
      <x:c r="D35" s="299" t="n">
        <x:f>ROUND(D20+D16+D22+D28+D31+D32+D34,1)</x:f>
        <x:v>300</x:v>
      </x:c>
      <x:c r="E35" s="299" t="n">
        <x:f>ROUND(E20+E16+E22+E28+E31+E32+E34,1)</x:f>
        <x:v>300</x:v>
      </x:c>
      <x:c r="F35" s="299" t="n">
        <x:f>ROUND(F20+F16+F22+F28+F31+F32+F34,1)</x:f>
        <x:v>300</x:v>
      </x:c>
      <x:c r="G35" s="300" t="n">
        <x:f>ROUND(G20+G16+G22+G28+G31+G32+G34,1)</x:f>
        <x:v>300</x:v>
      </x:c>
      <x:c r="H35" s="235"/>
      <x:c r="I35" s="235"/>
      <x:c r="J35" s="235"/>
      <x:c r="K35" s="235"/>
      <x:c r="L35" s="235"/>
      <x:c r="M35" s="235"/>
      <x:c r="N35" s="235"/>
      <x:c r="O35" s="235"/>
      <x:c r="P35" s="235"/>
      <x:c r="Q35" s="235"/>
    </x:row>
    <x:row r="36">
      <x:c r="A36" s="323" t="str">
        <x:v>Closing gross debt</x:v>
      </x:c>
      <x:c r="B36" s="324"/>
      <x:c r="C36" s="325" t="n">
        <x:f>ROUND(SUM(C23,C26,C29,C33),1)</x:f>
        <x:v>3455</x:v>
      </x:c>
      <x:c r="D36" s="325" t="n">
        <x:f>ROUND(SUM(D23,D26,D29,D33),1)</x:f>
        <x:v>3524</x:v>
      </x:c>
      <x:c r="E36" s="325" t="n">
        <x:f>ROUND(SUM(E23,E26,E29,E33),1)</x:f>
        <x:v>3623</x:v>
      </x:c>
      <x:c r="F36" s="325" t="n">
        <x:f>ROUND(SUM(F23,F26,F29,F33),1)</x:f>
        <x:v>3710</x:v>
      </x:c>
      <x:c r="G36" s="326" t="n">
        <x:f>ROUND(SUM(G23,G26,G29,G33),1)</x:f>
        <x:v>3800</x:v>
      </x:c>
      <x:c r="H36" s="235"/>
      <x:c r="I36" s="235"/>
      <x:c r="J36" s="235"/>
      <x:c r="K36" s="235"/>
      <x:c r="L36" s="235"/>
      <x:c r="M36" s="235"/>
      <x:c r="N36" s="235"/>
      <x:c r="O36" s="235"/>
      <x:c r="P36" s="235"/>
      <x:c r="Q36" s="235"/>
    </x:row>
    <x:row r="37">
      <x:c r="A37" s="323" t="str">
        <x:v>Closing net debt</x:v>
      </x:c>
      <x:c r="B37" s="324"/>
      <x:c r="C37" s="325" t="n">
        <x:f>ROUND(C36-C35,1)</x:f>
        <x:v>3155</x:v>
      </x:c>
      <x:c r="D37" s="325" t="n">
        <x:f>ROUND(D36-D35,1)</x:f>
        <x:v>3224</x:v>
      </x:c>
      <x:c r="E37" s="325" t="n">
        <x:f>ROUND(E36-E35,1)</x:f>
        <x:v>3323</x:v>
      </x:c>
      <x:c r="F37" s="325" t="n">
        <x:f>ROUND(F36-F35,1)</x:f>
        <x:v>3410</x:v>
      </x:c>
      <x:c r="G37" s="326" t="n">
        <x:f>ROUND(G36-G35,1)</x:f>
        <x:v>3500</x:v>
      </x:c>
      <x:c r="H37" s="235"/>
      <x:c r="I37" s="235"/>
      <x:c r="J37" s="235"/>
      <x:c r="K37" s="235"/>
      <x:c r="L37" s="235"/>
      <x:c r="M37" s="235"/>
      <x:c r="N37" s="235"/>
      <x:c r="O37" s="235"/>
      <x:c r="P37" s="235"/>
      <x:c r="Q37" s="235"/>
    </x:row>
    <x:row r="38">
      <x:c r="A38" s="323" t="str">
        <x:v>Net leverage</x:v>
      </x:c>
      <x:c r="B38" s="324"/>
      <x:c r="C38" s="327" t="n">
        <x:f>C37/C9</x:f>
        <x:v>4.201065246338215</x:v>
      </x:c>
      <x:c r="D38" s="327" t="n">
        <x:f>D37/D9</x:f>
        <x:v>4.434662998624484</x:v>
      </x:c>
      <x:c r="E38" s="327" t="n">
        <x:f>E37/E9</x:f>
        <x:v>4.472409152086137</x:v>
      </x:c>
      <x:c r="F38" s="327" t="n">
        <x:f>F37/F9</x:f>
        <x:v>4.405684754521964</x:v>
      </x:c>
      <x:c r="G38" s="328" t="n">
        <x:f>G37/G9</x:f>
        <x:v>4.364089775561097</x:v>
      </x:c>
      <x:c r="H38" s="235"/>
      <x:c r="I38" s="235"/>
      <x:c r="J38" s="235"/>
      <x:c r="K38" s="235"/>
      <x:c r="L38" s="235"/>
      <x:c r="M38" s="235"/>
      <x:c r="N38" s="235"/>
      <x:c r="O38" s="235"/>
      <x:c r="P38" s="235"/>
      <x:c r="Q38" s="235"/>
    </x:row>
    <x:row r="39">
      <x:c r="A39" s="323" t="str">
        <x:v>EBITDA / total cash interest</x:v>
      </x:c>
      <x:c r="B39" s="324"/>
      <x:c r="C39" s="327" t="n">
        <x:f>C9/(-C11-C12)</x:f>
        <x:v>1.997340425531915</x:v>
      </x:c>
      <x:c r="D39" s="327" t="n">
        <x:f>D9/(-D11-D12)</x:f>
        <x:v>1.9335106382978724</x:v>
      </x:c>
      <x:c r="E39" s="327" t="n">
        <x:f>E9/(-E11-E12)</x:f>
        <x:v>1.9399477806788512</x:v>
      </x:c>
      <x:c r="F39" s="327" t="n">
        <x:f>F9/(-F11-F12)</x:f>
        <x:v>1.9744897959183674</x:v>
      </x:c>
      <x:c r="G39" s="328" t="n">
        <x:f>G9/(-G11-G12)</x:f>
        <x:v>2</x:v>
      </x:c>
      <x:c r="H39" s="235"/>
      <x:c r="I39" s="235"/>
      <x:c r="J39" s="235"/>
      <x:c r="K39" s="235"/>
      <x:c r="L39" s="235"/>
      <x:c r="M39" s="235"/>
      <x:c r="N39" s="235"/>
      <x:c r="O39" s="235"/>
      <x:c r="P39" s="235"/>
      <x:c r="Q39" s="235"/>
    </x:row>
    <x:row r="40">
      <x:c r="A40" s="329" t="str">
        <x:v>Liquidity (cash + undrawn RCF)</x:v>
      </x:c>
      <x:c r="B40" s="330"/>
      <x:c r="C40" s="331" t="n">
        <x:f>ROUND(C35+'Assumptions'!$B$10-C33,1)</x:f>
        <x:v>1299.5</x:v>
      </x:c>
      <x:c r="D40" s="331" t="n">
        <x:f>ROUND(D35+'Assumptions'!$B$10-D33,1)</x:f>
        <x:v>1205</x:v>
      </x:c>
      <x:c r="E40" s="331" t="n">
        <x:f>ROUND(E35+'Assumptions'!$B$10-E33,1)</x:f>
        <x:v>1080.5</x:v>
      </x:c>
      <x:c r="F40" s="331" t="n">
        <x:f>ROUND(F35+'Assumptions'!$B$10-F33,1)</x:f>
        <x:v>968</x:v>
      </x:c>
      <x:c r="G40" s="332" t="n">
        <x:f>ROUND(G35+'Assumptions'!$B$10-G33,1)</x:f>
        <x:v>852.5</x:v>
      </x:c>
      <x:c r="H40" s="235"/>
      <x:c r="I40" s="235"/>
      <x:c r="J40" s="235"/>
      <x:c r="K40" s="235"/>
      <x:c r="L40" s="235"/>
      <x:c r="M40" s="235"/>
      <x:c r="N40" s="235"/>
      <x:c r="O40" s="235"/>
      <x:c r="P40" s="235"/>
      <x:c r="Q40" s="235"/>
    </x:row>
    <x:row r="41">
      <x:c r="A41" s="235"/>
      <x:c r="B41" s="235"/>
      <x:c r="C41" s="235"/>
      <x:c r="D41" s="235"/>
      <x:c r="E41" s="235"/>
      <x:c r="F41" s="235"/>
      <x:c r="G41" s="235"/>
      <x:c r="H41" s="235"/>
      <x:c r="I41" s="235"/>
      <x:c r="J41" s="235"/>
      <x:c r="K41" s="235"/>
      <x:c r="L41" s="235"/>
      <x:c r="M41" s="235"/>
      <x:c r="N41" s="235"/>
      <x:c r="O41" s="235"/>
      <x:c r="P41" s="235"/>
      <x:c r="Q41" s="235"/>
    </x:row>
    <x:row r="42">
      <x:c r="A42" s="235"/>
      <x:c r="B42" s="235"/>
      <x:c r="C42" s="235"/>
      <x:c r="D42" s="235"/>
      <x:c r="E42" s="235"/>
      <x:c r="F42" s="235"/>
      <x:c r="G42" s="235"/>
      <x:c r="H42" s="235"/>
      <x:c r="I42" s="235"/>
      <x:c r="J42" s="235"/>
      <x:c r="K42" s="235"/>
      <x:c r="L42" s="235"/>
      <x:c r="M42" s="235"/>
      <x:c r="N42" s="235"/>
      <x:c r="O42" s="235"/>
      <x:c r="P42" s="235"/>
      <x:c r="Q42" s="235"/>
    </x:row>
    <x:row r="43">
      <x:c r="A43" s="235"/>
      <x:c r="B43" s="235"/>
      <x:c r="C43" s="235"/>
      <x:c r="D43" s="235"/>
      <x:c r="E43" s="235"/>
      <x:c r="F43" s="235"/>
      <x:c r="G43" s="235"/>
      <x:c r="H43" s="235"/>
      <x:c r="I43" s="235"/>
      <x:c r="J43" s="235"/>
      <x:c r="K43" s="235"/>
      <x:c r="L43" s="235"/>
      <x:c r="M43" s="235"/>
      <x:c r="N43" s="235"/>
      <x:c r="O43" s="235"/>
      <x:c r="P43" s="235"/>
      <x:c r="Q43" s="235"/>
    </x:row>
    <x:row r="44">
      <x:c r="A44" s="235"/>
      <x:c r="B44" s="235"/>
      <x:c r="C44" s="235"/>
      <x:c r="D44" s="235"/>
      <x:c r="E44" s="235"/>
      <x:c r="F44" s="235"/>
      <x:c r="G44" s="235"/>
      <x:c r="H44" s="235"/>
      <x:c r="I44" s="235"/>
      <x:c r="J44" s="235"/>
      <x:c r="K44" s="235"/>
      <x:c r="L44" s="235"/>
      <x:c r="M44" s="235"/>
      <x:c r="N44" s="235"/>
      <x:c r="O44" s="235"/>
      <x:c r="P44" s="235"/>
      <x:c r="Q44" s="235"/>
    </x:row>
    <x:row r="45">
      <x:c r="A45" s="235"/>
      <x:c r="B45" s="235"/>
      <x:c r="C45" s="235"/>
      <x:c r="D45" s="235"/>
      <x:c r="E45" s="235"/>
      <x:c r="F45" s="235"/>
      <x:c r="G45" s="235"/>
      <x:c r="H45" s="235"/>
      <x:c r="I45" s="235"/>
      <x:c r="J45" s="235"/>
      <x:c r="K45" s="235"/>
      <x:c r="L45" s="235"/>
      <x:c r="M45" s="235"/>
      <x:c r="N45" s="235"/>
      <x:c r="O45" s="235"/>
      <x:c r="P45" s="235"/>
      <x:c r="Q45" s="235"/>
    </x:row>
    <x:row r="46">
      <x:c r="A46" s="235"/>
      <x:c r="B46" s="235"/>
      <x:c r="C46" s="235"/>
      <x:c r="D46" s="235"/>
      <x:c r="E46" s="235"/>
      <x:c r="F46" s="235"/>
      <x:c r="G46" s="235"/>
      <x:c r="H46" s="235"/>
      <x:c r="I46" s="235"/>
      <x:c r="J46" s="235"/>
      <x:c r="K46" s="235"/>
      <x:c r="L46" s="235"/>
      <x:c r="M46" s="235"/>
      <x:c r="N46" s="235"/>
      <x:c r="O46" s="235"/>
      <x:c r="P46" s="235"/>
      <x:c r="Q46" s="235"/>
    </x:row>
    <x:row r="47">
      <x:c r="A47" s="235"/>
      <x:c r="B47" s="235"/>
      <x:c r="C47" s="235"/>
      <x:c r="D47" s="235"/>
      <x:c r="E47" s="235"/>
      <x:c r="F47" s="235"/>
      <x:c r="G47" s="235"/>
      <x:c r="H47" s="235"/>
      <x:c r="I47" s="235"/>
      <x:c r="J47" s="235"/>
      <x:c r="K47" s="235"/>
      <x:c r="L47" s="235"/>
      <x:c r="M47" s="235"/>
      <x:c r="N47" s="235"/>
      <x:c r="O47" s="235"/>
      <x:c r="P47" s="235"/>
      <x:c r="Q47" s="235"/>
    </x:row>
    <x:row r="48">
      <x:c r="A48" s="235"/>
      <x:c r="B48" s="235"/>
      <x:c r="C48" s="235"/>
      <x:c r="D48" s="235"/>
      <x:c r="E48" s="235"/>
      <x:c r="F48" s="235"/>
      <x:c r="G48" s="235"/>
      <x:c r="H48" s="235"/>
      <x:c r="I48" s="235"/>
      <x:c r="J48" s="235"/>
      <x:c r="K48" s="235"/>
      <x:c r="L48" s="235"/>
      <x:c r="M48" s="235"/>
      <x:c r="N48" s="235"/>
      <x:c r="O48" s="235"/>
      <x:c r="P48" s="235"/>
      <x:c r="Q48" s="235"/>
    </x:row>
    <x:row r="49">
      <x:c r="A49" s="235"/>
      <x:c r="B49" s="235"/>
      <x:c r="C49" s="235"/>
      <x:c r="D49" s="235"/>
      <x:c r="E49" s="235"/>
      <x:c r="F49" s="235"/>
      <x:c r="G49" s="235"/>
      <x:c r="H49" s="235"/>
      <x:c r="I49" s="235"/>
      <x:c r="J49" s="235"/>
      <x:c r="K49" s="235"/>
      <x:c r="L49" s="235"/>
      <x:c r="M49" s="235"/>
      <x:c r="N49" s="235"/>
      <x:c r="O49" s="235"/>
      <x:c r="P49" s="235"/>
      <x:c r="Q49" s="235"/>
    </x:row>
    <x:row r="50">
      <x:c r="A50" s="235"/>
      <x:c r="B50" s="235"/>
      <x:c r="C50" s="235"/>
      <x:c r="D50" s="235"/>
      <x:c r="E50" s="235"/>
      <x:c r="F50" s="235"/>
      <x:c r="G50" s="235"/>
      <x:c r="H50" s="235"/>
      <x:c r="I50" s="235"/>
      <x:c r="J50" s="235"/>
      <x:c r="K50" s="235"/>
      <x:c r="L50" s="235"/>
      <x:c r="M50" s="235"/>
      <x:c r="N50" s="235"/>
      <x:c r="O50" s="235"/>
      <x:c r="P50" s="235"/>
      <x:c r="Q50" s="235"/>
    </x:row>
    <x:row r="51">
      <x:c r="A51" s="235"/>
      <x:c r="B51" s="235"/>
      <x:c r="C51" s="235"/>
      <x:c r="D51" s="235"/>
      <x:c r="E51" s="235"/>
      <x:c r="F51" s="235"/>
      <x:c r="G51" s="235"/>
      <x:c r="H51" s="235"/>
      <x:c r="I51" s="235"/>
      <x:c r="J51" s="235"/>
      <x:c r="K51" s="235"/>
      <x:c r="L51" s="235"/>
      <x:c r="M51" s="235"/>
      <x:c r="N51" s="235"/>
      <x:c r="O51" s="235"/>
      <x:c r="P51" s="235"/>
      <x:c r="Q51" s="235"/>
    </x:row>
    <x:row r="52">
      <x:c r="A52" s="235"/>
      <x:c r="B52" s="235"/>
      <x:c r="C52" s="235"/>
      <x:c r="D52" s="235"/>
      <x:c r="E52" s="235"/>
      <x:c r="F52" s="235"/>
      <x:c r="G52" s="235"/>
      <x:c r="H52" s="235"/>
      <x:c r="I52" s="235"/>
      <x:c r="J52" s="235"/>
      <x:c r="K52" s="235"/>
      <x:c r="L52" s="235"/>
      <x:c r="M52" s="235"/>
      <x:c r="N52" s="235"/>
      <x:c r="O52" s="235"/>
      <x:c r="P52" s="235"/>
      <x:c r="Q52" s="235"/>
    </x:row>
    <x:row r="53">
      <x:c r="A53" s="235"/>
      <x:c r="B53" s="235"/>
      <x:c r="C53" s="235"/>
      <x:c r="D53" s="235"/>
      <x:c r="E53" s="235"/>
      <x:c r="F53" s="235"/>
      <x:c r="G53" s="235"/>
      <x:c r="H53" s="235"/>
      <x:c r="I53" s="235"/>
      <x:c r="J53" s="235"/>
      <x:c r="K53" s="235"/>
      <x:c r="L53" s="235"/>
      <x:c r="M53" s="235"/>
      <x:c r="N53" s="235"/>
      <x:c r="O53" s="235"/>
      <x:c r="P53" s="235"/>
      <x:c r="Q53" s="235"/>
    </x:row>
    <x:row r="54">
      <x:c r="A54" s="235"/>
      <x:c r="B54" s="235"/>
      <x:c r="C54" s="235"/>
      <x:c r="D54" s="235"/>
      <x:c r="E54" s="235"/>
      <x:c r="F54" s="235"/>
      <x:c r="G54" s="235"/>
      <x:c r="H54" s="235"/>
      <x:c r="I54" s="235"/>
      <x:c r="J54" s="235"/>
      <x:c r="K54" s="235"/>
      <x:c r="L54" s="235"/>
      <x:c r="M54" s="235"/>
      <x:c r="N54" s="235"/>
      <x:c r="O54" s="235"/>
      <x:c r="P54" s="235"/>
      <x:c r="Q54" s="235"/>
    </x:row>
    <x:row r="55">
      <x:c r="A55" s="235"/>
      <x:c r="B55" s="235"/>
      <x:c r="C55" s="235"/>
      <x:c r="D55" s="235"/>
      <x:c r="E55" s="235"/>
      <x:c r="F55" s="235"/>
      <x:c r="G55" s="235"/>
      <x:c r="H55" s="235"/>
      <x:c r="I55" s="235"/>
      <x:c r="J55" s="235"/>
      <x:c r="K55" s="235"/>
      <x:c r="L55" s="235"/>
      <x:c r="M55" s="235"/>
      <x:c r="N55" s="235"/>
      <x:c r="O55" s="235"/>
      <x:c r="P55" s="235"/>
      <x:c r="Q55" s="235"/>
    </x:row>
    <x:row r="56">
      <x:c r="A56" s="235"/>
      <x:c r="B56" s="235"/>
      <x:c r="C56" s="235"/>
      <x:c r="D56" s="235"/>
      <x:c r="E56" s="235"/>
      <x:c r="F56" s="235"/>
      <x:c r="G56" s="235"/>
      <x:c r="H56" s="235"/>
      <x:c r="I56" s="235"/>
      <x:c r="J56" s="235"/>
      <x:c r="K56" s="235"/>
      <x:c r="L56" s="235"/>
      <x:c r="M56" s="235"/>
      <x:c r="N56" s="235"/>
      <x:c r="O56" s="235"/>
      <x:c r="P56" s="235"/>
      <x:c r="Q56" s="235"/>
    </x:row>
    <x:row r="57">
      <x:c r="A57" s="235"/>
      <x:c r="B57" s="235"/>
      <x:c r="C57" s="235"/>
      <x:c r="D57" s="235"/>
      <x:c r="E57" s="235"/>
      <x:c r="F57" s="235"/>
      <x:c r="G57" s="235"/>
      <x:c r="H57" s="235"/>
      <x:c r="I57" s="235"/>
      <x:c r="J57" s="235"/>
      <x:c r="K57" s="235"/>
      <x:c r="L57" s="235"/>
      <x:c r="M57" s="235"/>
      <x:c r="N57" s="235"/>
      <x:c r="O57" s="235"/>
      <x:c r="P57" s="235"/>
      <x:c r="Q57" s="235"/>
    </x:row>
    <x:row r="58">
      <x:c r="A58" s="235"/>
      <x:c r="B58" s="235"/>
      <x:c r="C58" s="235"/>
      <x:c r="D58" s="235"/>
      <x:c r="E58" s="235"/>
      <x:c r="F58" s="235"/>
      <x:c r="G58" s="235"/>
      <x:c r="H58" s="235"/>
      <x:c r="I58" s="235"/>
      <x:c r="J58" s="235"/>
      <x:c r="K58" s="235"/>
      <x:c r="L58" s="235"/>
      <x:c r="M58" s="235"/>
      <x:c r="N58" s="235"/>
      <x:c r="O58" s="235"/>
      <x:c r="P58" s="235"/>
      <x:c r="Q58" s="235"/>
    </x:row>
    <x:row r="59">
      <x:c r="A59" s="235"/>
      <x:c r="B59" s="235"/>
      <x:c r="C59" s="235"/>
      <x:c r="D59" s="235"/>
      <x:c r="E59" s="235"/>
      <x:c r="F59" s="235"/>
      <x:c r="G59" s="235"/>
      <x:c r="H59" s="235"/>
      <x:c r="I59" s="235"/>
      <x:c r="J59" s="235"/>
      <x:c r="K59" s="235"/>
      <x:c r="L59" s="235"/>
      <x:c r="M59" s="235"/>
      <x:c r="N59" s="235"/>
      <x:c r="O59" s="235"/>
      <x:c r="P59" s="235"/>
      <x:c r="Q59" s="235"/>
    </x:row>
    <x:row r="60">
      <x:c r="A60" s="235"/>
      <x:c r="B60" s="235"/>
      <x:c r="C60" s="235"/>
      <x:c r="D60" s="235"/>
      <x:c r="E60" s="235"/>
      <x:c r="F60" s="235"/>
      <x:c r="G60" s="235"/>
      <x:c r="H60" s="235"/>
      <x:c r="I60" s="235"/>
      <x:c r="J60" s="235"/>
      <x:c r="K60" s="235"/>
      <x:c r="L60" s="235"/>
      <x:c r="M60" s="235"/>
      <x:c r="N60" s="235"/>
      <x:c r="O60" s="235"/>
      <x:c r="P60" s="235"/>
      <x:c r="Q60" s="235"/>
    </x:row>
  </x:sheetData>
  <x:mergeCells>
    <x:mergeCell ref="A1:H1"/>
    <x:mergeCell ref="A2:H2"/>
    <x:mergeCell ref="A5:G5"/>
    <x:mergeCell ref="A19:G19"/>
  </x:mergeCells>
  <x:conditionalFormatting sqref="C16:G16">
    <x:cfRule type="cellIs" dxfId="2" priority="1" operator="lessThan">
      <x:formula>0</x:formula>
    </x:cfRule>
  </x:conditionalFormatting>
  <x:conditionalFormatting sqref="C39:G39">
    <x:cfRule type="cellIs" dxfId="3" priority="2" operator="lessThan">
      <x:formula>2</x:formula>
    </x:cfRule>
  </x:conditionalFormatting>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18" hidden="0" customWidth="1"/>
    <x:col min="3" max="3" width="18" hidden="0" customWidth="1"/>
    <x:col min="4" max="4" width="18" hidden="0" customWidth="1"/>
    <x:col min="5" max="5" width="18" hidden="0" customWidth="1"/>
    <x:col min="6" max="6" width="34" hidden="0" customWidth="1"/>
    <x:col min="7" max="7" width="20" hidden="0" customWidth="1"/>
  </x:cols>
  <x:sheetData>
    <x:row r="1" ht="31" customHeight="1">
      <x:c r="A1" s="5" t="str">
        <x:v>Morrisons | Debt Capacity &amp; Underwriting Terms</x:v>
      </x:c>
      <x:c r="B1" s="5" t="str">
        <x:v>Morrisons | Debt Capacity &amp; Underwriting Terms</x:v>
      </x:c>
      <x:c r="C1" s="5" t="str">
        <x:v>Morrisons | Debt Capacity &amp; Underwriting Terms</x:v>
      </x:c>
      <x:c r="D1" s="5" t="str">
        <x:v>Morrisons | Debt Capacity &amp; Underwriting Terms</x:v>
      </x:c>
      <x:c r="E1" s="5" t="str">
        <x:v>Morrisons | Debt Capacity &amp; Underwriting Terms</x:v>
      </x:c>
      <x:c r="F1" s="5" t="str">
        <x:v>Morrisons | Debt Capacity &amp; Underwriting Terms</x:v>
      </x:c>
      <x:c r="G1" s="5" t="str">
        <x:v>Morrisons | Debt Capacity &amp; Underwriting Terms</x:v>
      </x:c>
      <x:c r="H1" s="5" t="str">
        <x:v>Morrisons | Debt Capacity &amp; Underwriting Terms</x:v>
      </x:c>
      <x:c r="I1" s="5" t="str">
        <x:v>Morrisons | Debt Capacity &amp; Underwriting Terms</x:v>
      </x:c>
      <x:c r="J1" s="5" t="str">
        <x:v>Morrisons | Debt Capacity &amp; Underwriting Terms</x:v>
      </x:c>
      <x:c r="K1" s="5" t="str">
        <x:v>Morrisons | Debt Capacity &amp; Underwriting Terms</x:v>
      </x:c>
      <x:c r="L1" s="233"/>
      <x:c r="M1" s="233"/>
      <x:c r="N1" s="233"/>
      <x:c r="O1" s="233"/>
      <x:c r="P1" s="233"/>
      <x:c r="Q1" s="233"/>
    </x:row>
    <x:row r="2" ht="24" customHeight="1">
      <x:c r="A2" s="234" t="str">
        <x:v>Illustrative lender view | July 2026. £m unless stated.</x:v>
      </x:c>
      <x:c r="B2" s="234" t="str">
        <x:v>Illustrative lender view | July 2026. £m unless stated.</x:v>
      </x:c>
      <x:c r="C2" s="234" t="str">
        <x:v>Illustrative lender view | July 2026. £m unless stated.</x:v>
      </x:c>
      <x:c r="D2" s="234" t="str">
        <x:v>Illustrative lender view | July 2026. £m unless stated.</x:v>
      </x:c>
      <x:c r="E2" s="234" t="str">
        <x:v>Illustrative lender view | July 2026. £m unless stated.</x:v>
      </x:c>
      <x:c r="F2" s="234" t="str">
        <x:v>Illustrative lender view | July 2026. £m unless stated.</x:v>
      </x:c>
      <x:c r="G2" s="234" t="str">
        <x:v>Illustrative lender view | July 2026. £m unless stated.</x:v>
      </x:c>
      <x:c r="H2" s="234" t="str">
        <x:v>Illustrative lender view | July 2026. £m unless stated.</x:v>
      </x:c>
      <x:c r="I2" s="234" t="str">
        <x:v>Illustrative lender view | July 2026. £m unless stated.</x:v>
      </x:c>
      <x:c r="J2" s="234" t="str">
        <x:v>Illustrative lender view | July 2026. £m unless stated.</x:v>
      </x:c>
      <x:c r="K2" s="234" t="str">
        <x:v>Illustrative lender view | July 2026. £m unless stated.</x:v>
      </x:c>
      <x:c r="L2" s="235"/>
      <x:c r="M2" s="235"/>
      <x:c r="N2" s="235"/>
      <x:c r="O2" s="235"/>
      <x:c r="P2" s="235"/>
      <x:c r="Q2" s="235"/>
    </x:row>
    <x:row r="3">
      <x:c r="A3" s="235"/>
      <x:c r="B3" s="235"/>
      <x:c r="C3" s="235"/>
      <x:c r="D3" s="235"/>
      <x:c r="E3" s="235"/>
      <x:c r="F3" s="235"/>
      <x:c r="G3" s="235"/>
      <x:c r="H3" s="235"/>
      <x:c r="I3" s="235"/>
      <x:c r="J3" s="235"/>
      <x:c r="K3" s="235"/>
      <x:c r="L3" s="235"/>
      <x:c r="M3" s="235"/>
      <x:c r="N3" s="235"/>
      <x:c r="O3" s="235"/>
      <x:c r="P3" s="235"/>
      <x:c r="Q3" s="235"/>
    </x:row>
    <x:row r="4">
      <x:c r="A4" s="11" t="str">
        <x:v>Pro Forma Capital Structure at Close</x:v>
      </x:c>
      <x:c r="B4" s="11" t="str">
        <x:v>Pro Forma Capital Structure at Close</x:v>
      </x:c>
      <x:c r="C4" s="11" t="str">
        <x:v>Pro Forma Capital Structure at Close</x:v>
      </x:c>
      <x:c r="D4" s="11" t="str">
        <x:v>Pro Forma Capital Structure at Close</x:v>
      </x:c>
      <x:c r="E4" s="11" t="str">
        <x:v>Pro Forma Capital Structure at Close</x:v>
      </x:c>
      <x:c r="F4" s="11" t="str">
        <x:v>Pro Forma Capital Structure at Close</x:v>
      </x:c>
      <x:c r="G4" s="11" t="str">
        <x:v>Pro Forma Capital Structure at Close</x:v>
      </x:c>
      <x:c r="H4" s="235"/>
      <x:c r="I4" s="235" t="str">
        <x:v>Year</x:v>
      </x:c>
      <x:c r="J4" s="235" t="str">
        <x:v>Base net leverage</x:v>
      </x:c>
      <x:c r="K4" s="235" t="str">
        <x:v>Downside net leverage</x:v>
      </x:c>
      <x:c r="L4" s="235" t="str">
        <x:v>Base interest cover</x:v>
      </x:c>
      <x:c r="M4" s="235" t="str">
        <x:v>Downside interest cover</x:v>
      </x:c>
      <x:c r="N4" s="235" t="str"/>
      <x:c r="O4" s="235"/>
      <x:c r="P4" s="235"/>
      <x:c r="Q4" s="235"/>
    </x:row>
    <x:row r="5">
      <x:c r="A5" s="265" t="str">
        <x:v>Instrument</x:v>
      </x:c>
      <x:c r="B5" s="265" t="str">
        <x:v>Opening principal</x:v>
      </x:c>
      <x:c r="C5" s="265" t="str">
        <x:v>Rate</x:v>
      </x:c>
      <x:c r="D5" s="265" t="str">
        <x:v>Maturity</x:v>
      </x:c>
      <x:c r="E5" s="265" t="str">
        <x:v>Security</x:v>
      </x:c>
      <x:c r="F5" s="265" t="str">
        <x:v>Annual amort.</x:v>
      </x:c>
      <x:c r="G5" s="265" t="str">
        <x:v>Comment</x:v>
      </x:c>
      <x:c r="H5" s="235"/>
      <x:c r="I5" s="235" t="str">
        <x:v>2026E</x:v>
      </x:c>
      <x:c r="J5" s="235" t="n">
        <x:f>'Base Case'!C38</x:f>
        <x:v>3.5668202764976957</x:v>
      </x:c>
      <x:c r="K5" s="235" t="n">
        <x:f>'Downside'!C38</x:f>
        <x:v>4.201065246338215</x:v>
      </x:c>
      <x:c r="L5" s="235" t="n">
        <x:f>'Base Case'!C39</x:f>
        <x:v>2.3085106382978724</x:v>
      </x:c>
      <x:c r="M5" s="235" t="n">
        <x:f>'Downside'!C39</x:f>
        <x:v>1.997340425531915</x:v>
      </x:c>
      <x:c r="N5" s="235"/>
      <x:c r="O5" s="235"/>
      <x:c r="P5" s="235"/>
      <x:c r="Q5" s="235"/>
    </x:row>
    <x:row r="6">
      <x:c r="A6" s="235" t="str">
        <x:v>RCF</x:v>
      </x:c>
      <x:c r="B6" s="266" t="n">
        <x:v>0</x:v>
      </x:c>
      <x:c r="C6" s="267" t="n">
        <x:v>0.075</x:v>
      </x:c>
      <x:c r="D6" s="235" t="str">
        <x:v>Aug-2030</x:v>
      </x:c>
      <x:c r="E6" s="235" t="str">
        <x:v>Super senior</x:v>
      </x:c>
      <x:c r="F6" s="268" t="n">
        <x:v>0</x:v>
      </x:c>
      <x:c r="G6" s="235" t="str">
        <x:v>£1,000m commitment; assumed undrawn</x:v>
      </x:c>
      <x:c r="H6" s="235"/>
      <x:c r="I6" s="235" t="str">
        <x:v>2027E</x:v>
      </x:c>
      <x:c r="J6" s="235" t="n">
        <x:f>'Base Case'!D38</x:f>
        <x:v>3.381898454746137</x:v>
      </x:c>
      <x:c r="K6" s="235" t="n">
        <x:f>'Downside'!D38</x:f>
        <x:v>4.434662998624484</x:v>
      </x:c>
      <x:c r="L6" s="235" t="n">
        <x:f>'Base Case'!D39</x:f>
        <x:v>2.4224598930481283</x:v>
      </x:c>
      <x:c r="M6" s="235" t="n">
        <x:f>'Downside'!D39</x:f>
        <x:v>1.9335106382978724</x:v>
      </x:c>
      <x:c r="N6" s="235"/>
      <x:c r="O6" s="235"/>
      <x:c r="P6" s="235"/>
      <x:c r="Q6" s="235"/>
    </x:row>
    <x:row r="7">
      <x:c r="A7" s="235" t="str">
        <x:v>Existing term loans</x:v>
      </x:c>
      <x:c r="B7" s="266" t="n">
        <x:v>1650</x:v>
      </x:c>
      <x:c r="C7" s="267" t="n">
        <x:v>0.075</x:v>
      </x:c>
      <x:c r="D7" s="235" t="str">
        <x:v>Nov-2030</x:v>
      </x:c>
      <x:c r="E7" s="235" t="str">
        <x:v>First lien</x:v>
      </x:c>
      <x:c r="F7" s="268" t="n">
        <x:v>0.01</x:v>
      </x:c>
      <x:c r="G7" s="235" t="str">
        <x:v>Includes 2024 extension and 2025 add-on</x:v>
      </x:c>
      <x:c r="H7" s="235"/>
      <x:c r="I7" s="235" t="str">
        <x:v>2028E</x:v>
      </x:c>
      <x:c r="J7" s="235" t="n">
        <x:f>'Base Case'!E38</x:f>
        <x:v>3.2033898305084745</x:v>
      </x:c>
      <x:c r="K7" s="235" t="n">
        <x:f>'Downside'!E38</x:f>
        <x:v>4.472409152086137</x:v>
      </x:c>
      <x:c r="L7" s="235" t="n">
        <x:f>'Base Case'!E39</x:f>
        <x:v>2.5376344086021505</x:v>
      </x:c>
      <x:c r="M7" s="235" t="n">
        <x:f>'Downside'!E39</x:f>
        <x:v>1.9399477806788512</x:v>
      </x:c>
      <x:c r="N7" s="235"/>
      <x:c r="O7" s="235"/>
      <x:c r="P7" s="235"/>
      <x:c r="Q7" s="235"/>
    </x:row>
    <x:row r="8">
      <x:c r="A8" s="235" t="str">
        <x:v>2031 senior secured notes</x:v>
      </x:c>
      <x:c r="B8" s="266" t="n">
        <x:v>930</x:v>
      </x:c>
      <x:c r="C8" s="267" t="n">
        <x:v>0.0782</x:v>
      </x:c>
      <x:c r="D8" s="235" t="str">
        <x:v>Jan-2031</x:v>
      </x:c>
      <x:c r="E8" s="235" t="str">
        <x:v>First lien</x:v>
      </x:c>
      <x:c r="F8" s="268" t="n">
        <x:v>0</x:v>
      </x:c>
      <x:c r="G8" s="235" t="str">
        <x:v>£500m 8.75% + €500m 6.75%</x:v>
      </x:c>
      <x:c r="H8" s="235"/>
      <x:c r="I8" s="235" t="str">
        <x:v>2029E</x:v>
      </x:c>
      <x:c r="J8" s="235" t="n">
        <x:f>'Base Case'!F38</x:f>
        <x:v>3.07201646090535</x:v>
      </x:c>
      <x:c r="K8" s="235" t="n">
        <x:f>'Downside'!F38</x:f>
        <x:v>4.405684754521964</x:v>
      </x:c>
      <x:c r="L8" s="235" t="n">
        <x:f>'Base Case'!F39</x:f>
        <x:v>2.6199460916442048</x:v>
      </x:c>
      <x:c r="M8" s="235" t="n">
        <x:f>'Downside'!F39</x:f>
        <x:v>1.9744897959183674</x:v>
      </x:c>
      <x:c r="N8" s="235"/>
      <x:c r="O8" s="235"/>
      <x:c r="P8" s="235"/>
      <x:c r="Q8" s="235"/>
    </x:row>
    <x:row r="9">
      <x:c r="A9" s="235" t="str">
        <x:v>Proposed term-out facility</x:v>
      </x:c>
      <x:c r="B9" s="266" t="n">
        <x:v>900</x:v>
      </x:c>
      <x:c r="C9" s="267" t="n">
        <x:v>0.0825</x:v>
      </x:c>
      <x:c r="D9" s="235" t="str">
        <x:v>Aug-2032</x:v>
      </x:c>
      <x:c r="E9" s="235" t="str">
        <x:v>First lien</x:v>
      </x:c>
      <x:c r="F9" s="268" t="n">
        <x:v>0.01</x:v>
      </x:c>
      <x:c r="G9" s="235" t="str">
        <x:v>Refinances remaining 2027 / 2028 notes</x:v>
      </x:c>
      <x:c r="H9" s="235"/>
      <x:c r="I9" s="235" t="str">
        <x:v>2030E</x:v>
      </x:c>
      <x:c r="J9" s="235" t="n">
        <x:f>'Base Case'!G38</x:f>
        <x:v>2.942</x:v>
      </x:c>
      <x:c r="K9" s="235" t="n">
        <x:f>'Downside'!G38</x:f>
        <x:v>4.364089775561097</x:v>
      </x:c>
      <x:c r="L9" s="235" t="n">
        <x:f>'Base Case'!G39</x:f>
        <x:v>2.7027027027027026</x:v>
      </x:c>
      <x:c r="M9" s="235" t="n">
        <x:f>'Downside'!G39</x:f>
        <x:v>2</x:v>
      </x:c>
      <x:c r="N9" s="235"/>
      <x:c r="O9" s="235"/>
      <x:c r="P9" s="235"/>
      <x:c r="Q9" s="235"/>
    </x:row>
    <x:row r="10">
      <x:c r="A10" s="251" t="str">
        <x:v>Total gross debt</x:v>
      </x:c>
      <x:c r="B10" s="269" t="n">
        <x:f>SUM(B6:B9)</x:f>
        <x:v>3480</x:v>
      </x:c>
      <x:c r="C10" s="251"/>
      <x:c r="D10" s="251"/>
      <x:c r="E10" s="251"/>
      <x:c r="F10" s="251"/>
      <x:c r="G10" s="251"/>
      <x:c r="H10" s="235"/>
      <x:c r="I10" s="235"/>
      <x:c r="J10" s="235"/>
      <x:c r="K10" s="235"/>
      <x:c r="L10" s="235"/>
      <x:c r="M10" s="235"/>
      <x:c r="N10" s="235"/>
      <x:c r="O10" s="235"/>
      <x:c r="P10" s="235"/>
      <x:c r="Q10" s="235"/>
    </x:row>
    <x:row r="11">
      <x:c r="A11" s="235"/>
      <x:c r="B11" s="235"/>
      <x:c r="C11" s="235"/>
      <x:c r="D11" s="235"/>
      <x:c r="E11" s="235"/>
      <x:c r="F11" s="235"/>
      <x:c r="G11" s="235"/>
      <x:c r="H11" s="235"/>
      <x:c r="I11" s="235"/>
      <x:c r="J11" s="235"/>
      <x:c r="K11" s="235"/>
      <x:c r="L11" s="235"/>
      <x:c r="M11" s="235"/>
      <x:c r="N11" s="235"/>
      <x:c r="O11" s="235"/>
      <x:c r="P11" s="235"/>
      <x:c r="Q11" s="235"/>
    </x:row>
    <x:row r="12">
      <x:c r="A12" s="235"/>
      <x:c r="B12" s="235"/>
      <x:c r="C12" s="235"/>
      <x:c r="D12" s="235"/>
      <x:c r="E12" s="235"/>
      <x:c r="F12" s="235"/>
      <x:c r="G12" s="235"/>
      <x:c r="H12" s="235"/>
      <x:c r="I12" s="235"/>
      <x:c r="J12" s="235"/>
      <x:c r="K12" s="235"/>
      <x:c r="L12" s="235"/>
      <x:c r="M12" s="235"/>
      <x:c r="N12" s="235"/>
      <x:c r="O12" s="235"/>
      <x:c r="P12" s="235"/>
      <x:c r="Q12" s="235"/>
    </x:row>
    <x:row r="13">
      <x:c r="A13" s="11" t="str">
        <x:v>Recommended Terms</x:v>
      </x:c>
      <x:c r="B13" s="11" t="str">
        <x:v>Recommended Terms</x:v>
      </x:c>
      <x:c r="C13" s="11" t="str">
        <x:v>Recommended Terms</x:v>
      </x:c>
      <x:c r="D13" s="11" t="str">
        <x:v>Recommended Terms</x:v>
      </x:c>
      <x:c r="E13" s="11" t="str">
        <x:v>Recommended Terms</x:v>
      </x:c>
      <x:c r="F13" s="11" t="str">
        <x:v>Recommended Terms</x:v>
      </x:c>
      <x:c r="G13" s="11" t="str">
        <x:v>Recommended Terms</x:v>
      </x:c>
      <x:c r="H13" s="235"/>
      <x:c r="I13" s="235" t="str">
        <x:v>Maturity</x:v>
      </x:c>
      <x:c r="J13" s="235" t="str">
        <x:v>Principal</x:v>
      </x:c>
      <x:c r="K13" s="235"/>
      <x:c r="L13" s="235"/>
      <x:c r="M13" s="235"/>
      <x:c r="N13" s="235"/>
      <x:c r="O13" s="235"/>
      <x:c r="P13" s="235"/>
      <x:c r="Q13" s="235"/>
    </x:row>
    <x:row r="14">
      <x:c r="A14" s="270" t="str">
        <x:v>Decision</x:v>
      </x:c>
      <x:c r="B14" s="271" t="str">
        <x:v>APPROVE WITH CONDITIONS</x:v>
      </x:c>
      <x:c r="C14" s="271"/>
      <x:c r="D14" s="271"/>
      <x:c r="E14" s="271"/>
      <x:c r="F14" s="271"/>
      <x:c r="G14" s="271"/>
      <x:c r="H14" s="235"/>
      <x:c r="I14" s="235" t="str">
        <x:v>2030 term loans</x:v>
      </x:c>
      <x:c r="J14" s="235" t="n">
        <x:f>'Base Case'!G23</x:f>
        <x:v>1473.5</x:v>
      </x:c>
      <x:c r="K14" s="235"/>
      <x:c r="L14" s="235"/>
      <x:c r="M14" s="235"/>
      <x:c r="N14" s="235"/>
      <x:c r="O14" s="235"/>
      <x:c r="P14" s="235"/>
      <x:c r="Q14" s="235"/>
    </x:row>
    <x:row r="15">
      <x:c r="A15" s="236" t="str">
        <x:v>Facility</x:v>
      </x:c>
      <x:c r="B15" s="272" t="str">
        <x:v>£900m senior secured term loan; six-year maturity</x:v>
      </x:c>
      <x:c r="C15" s="272"/>
      <x:c r="D15" s="272"/>
      <x:c r="E15" s="272"/>
      <x:c r="F15" s="272"/>
      <x:c r="G15" s="272"/>
      <x:c r="H15" s="235"/>
      <x:c r="I15" s="235" t="str">
        <x:v>2031 secured notes</x:v>
      </x:c>
      <x:c r="J15" s="235" t="n">
        <x:v>930</x:v>
      </x:c>
      <x:c r="K15" s="235"/>
      <x:c r="L15" s="235"/>
      <x:c r="M15" s="235"/>
      <x:c r="N15" s="235"/>
      <x:c r="O15" s="235"/>
      <x:c r="P15" s="235"/>
      <x:c r="Q15" s="235"/>
    </x:row>
    <x:row r="16">
      <x:c r="A16" s="236" t="str">
        <x:v>Pricing</x:v>
      </x:c>
      <x:c r="B16" s="272" t="str">
        <x:v>SONIA + 450 bps, 50 bps floor; 99 OID; 1% annual amortisation</x:v>
      </x:c>
      <x:c r="C16" s="272"/>
      <x:c r="D16" s="272"/>
      <x:c r="E16" s="272"/>
      <x:c r="F16" s="272"/>
      <x:c r="G16" s="272"/>
      <x:c r="H16" s="235"/>
      <x:c r="I16" s="235" t="str">
        <x:v>2032 proposed facility</x:v>
      </x:c>
      <x:c r="J16" s="235" t="n">
        <x:f>'Base Case'!G29</x:f>
        <x:v>855</x:v>
      </x:c>
      <x:c r="K16" s="235"/>
      <x:c r="L16" s="235"/>
      <x:c r="M16" s="235"/>
      <x:c r="N16" s="235"/>
      <x:c r="O16" s="235"/>
      <x:c r="P16" s="235"/>
      <x:c r="Q16" s="235"/>
    </x:row>
    <x:row r="17">
      <x:c r="A17" s="236" t="str">
        <x:v>Cash sweep</x:v>
      </x:c>
      <x:c r="B17" s="272" t="str">
        <x:v>50% until total net leverage &lt;3.25x; 25% to 2.75x; 0% thereafter</x:v>
      </x:c>
      <x:c r="C17" s="272"/>
      <x:c r="D17" s="272"/>
      <x:c r="E17" s="272"/>
      <x:c r="F17" s="272"/>
      <x:c r="G17" s="272"/>
      <x:c r="H17" s="235"/>
      <x:c r="I17" s="235" t="str">
        <x:v>RCF (undrawn)</x:v>
      </x:c>
      <x:c r="J17" s="235" t="n">
        <x:v>0</x:v>
      </x:c>
      <x:c r="K17" s="235"/>
      <x:c r="L17" s="235"/>
      <x:c r="M17" s="235"/>
      <x:c r="N17" s="235"/>
      <x:c r="O17" s="235"/>
      <x:c r="P17" s="235"/>
      <x:c r="Q17" s="235"/>
    </x:row>
    <x:row r="18">
      <x:c r="A18" s="236" t="str">
        <x:v>Liquidity</x:v>
      </x:c>
      <x:c r="B18" s="272" t="str">
        <x:v>Minimum £300m cash and £500m total liquidity</x:v>
      </x:c>
      <x:c r="C18" s="272"/>
      <x:c r="D18" s="272"/>
      <x:c r="E18" s="272"/>
      <x:c r="F18" s="272"/>
      <x:c r="G18" s="272"/>
      <x:c r="H18" s="235"/>
      <x:c r="I18" s="235"/>
      <x:c r="J18" s="235"/>
      <x:c r="K18" s="235"/>
      <x:c r="L18" s="235"/>
      <x:c r="M18" s="235"/>
      <x:c r="N18" s="235"/>
      <x:c r="O18" s="235"/>
      <x:c r="P18" s="235"/>
      <x:c r="Q18" s="235"/>
    </x:row>
    <x:row r="19">
      <x:c r="A19" s="236" t="str">
        <x:v>Covenant</x:v>
      </x:c>
      <x:c r="B19" s="272" t="str">
        <x:v>5.25x first-lien net leverage springing when RCF &gt;40% drawn</x:v>
      </x:c>
      <x:c r="C19" s="272"/>
      <x:c r="D19" s="272"/>
      <x:c r="E19" s="272"/>
      <x:c r="F19" s="272"/>
      <x:c r="G19" s="272"/>
      <x:c r="H19" s="235"/>
      <x:c r="I19" s="235"/>
      <x:c r="J19" s="235"/>
      <x:c r="K19" s="235"/>
      <x:c r="L19" s="235"/>
      <x:c r="M19" s="235"/>
      <x:c r="N19" s="235"/>
      <x:c r="O19" s="235"/>
      <x:c r="P19" s="235"/>
      <x:c r="Q19" s="235"/>
    </x:row>
    <x:row r="20">
      <x:c r="A20" s="236" t="str">
        <x:v>Restricted payments</x:v>
      </x:c>
      <x:c r="B20" s="272" t="str">
        <x:v>Blocked if total net leverage &gt;3.50x or pro forma liquidity &lt;£500m</x:v>
      </x:c>
      <x:c r="C20" s="272"/>
      <x:c r="D20" s="272"/>
      <x:c r="E20" s="272"/>
      <x:c r="F20" s="272"/>
      <x:c r="G20" s="272"/>
      <x:c r="H20" s="235"/>
      <x:c r="I20" s="235"/>
      <x:c r="J20" s="235"/>
      <x:c r="K20" s="235"/>
      <x:c r="L20" s="235"/>
      <x:c r="M20" s="235"/>
      <x:c r="N20" s="235"/>
      <x:c r="O20" s="235"/>
      <x:c r="P20" s="235"/>
      <x:c r="Q20" s="235"/>
    </x:row>
    <x:row r="21">
      <x:c r="A21" s="236" t="str">
        <x:v>Guarantor / security</x:v>
      </x:c>
      <x:c r="B21" s="272" t="str">
        <x:v>At least 80% of consolidated EBITDA covered by guarantors</x:v>
      </x:c>
      <x:c r="C21" s="272"/>
      <x:c r="D21" s="272"/>
      <x:c r="E21" s="272"/>
      <x:c r="F21" s="272"/>
      <x:c r="G21" s="272"/>
      <x:c r="H21" s="235"/>
      <x:c r="I21" s="235"/>
      <x:c r="J21" s="235"/>
      <x:c r="K21" s="235"/>
      <x:c r="L21" s="235"/>
      <x:c r="M21" s="235"/>
      <x:c r="N21" s="235"/>
      <x:c r="O21" s="235"/>
      <x:c r="P21" s="235"/>
      <x:c r="Q21" s="235"/>
    </x:row>
    <x:row r="22">
      <x:c r="A22" s="235"/>
      <x:c r="B22" s="235"/>
      <x:c r="C22" s="235"/>
      <x:c r="D22" s="235"/>
      <x:c r="E22" s="235"/>
      <x:c r="F22" s="235"/>
      <x:c r="G22" s="235"/>
      <x:c r="H22" s="235"/>
      <x:c r="I22" s="235"/>
      <x:c r="J22" s="235"/>
      <x:c r="K22" s="235"/>
      <x:c r="L22" s="235"/>
      <x:c r="M22" s="235"/>
      <x:c r="N22" s="235"/>
      <x:c r="O22" s="235"/>
      <x:c r="P22" s="235"/>
      <x:c r="Q22" s="235"/>
    </x:row>
    <x:row r="23">
      <x:c r="A23" s="235"/>
      <x:c r="B23" s="235"/>
      <x:c r="C23" s="235"/>
      <x:c r="D23" s="235"/>
      <x:c r="E23" s="235"/>
      <x:c r="F23" s="235"/>
      <x:c r="G23" s="235"/>
      <x:c r="H23" s="235"/>
      <x:c r="I23" s="235"/>
      <x:c r="J23" s="235"/>
      <x:c r="K23" s="235"/>
      <x:c r="L23" s="235"/>
      <x:c r="M23" s="235"/>
      <x:c r="N23" s="235"/>
      <x:c r="O23" s="235"/>
      <x:c r="P23" s="235"/>
      <x:c r="Q23" s="235"/>
    </x:row>
    <x:row r="24">
      <x:c r="A24" s="11" t="str">
        <x:v>Base / Downside Metrics</x:v>
      </x:c>
      <x:c r="B24" s="11" t="str">
        <x:v>Base / Downside Metrics</x:v>
      </x:c>
      <x:c r="C24" s="11" t="str">
        <x:v>Base / Downside Metrics</x:v>
      </x:c>
      <x:c r="D24" s="11" t="str">
        <x:v>Base / Downside Metrics</x:v>
      </x:c>
      <x:c r="E24" s="11" t="str">
        <x:v>Base / Downside Metrics</x:v>
      </x:c>
      <x:c r="F24" s="11" t="str">
        <x:v>Base / Downside Metrics</x:v>
      </x:c>
      <x:c r="G24" s="11" t="str">
        <x:v>Base / Downside Metrics</x:v>
      </x:c>
      <x:c r="H24" s="235"/>
      <x:c r="I24" s="235"/>
      <x:c r="J24" s="235"/>
      <x:c r="K24" s="235"/>
      <x:c r="L24" s="235"/>
      <x:c r="M24" s="235"/>
      <x:c r="N24" s="235"/>
      <x:c r="O24" s="235"/>
      <x:c r="P24" s="235"/>
      <x:c r="Q24" s="235"/>
    </x:row>
    <x:row r="25">
      <x:c r="A25" s="265" t="str">
        <x:v>Metric</x:v>
      </x:c>
      <x:c r="B25" s="265" t="str">
        <x:v>2026E Base</x:v>
      </x:c>
      <x:c r="C25" s="265" t="str">
        <x:v>2026E Downside</x:v>
      </x:c>
      <x:c r="D25" s="265" t="str">
        <x:v>2030E Base</x:v>
      </x:c>
      <x:c r="E25" s="265" t="str">
        <x:v>2030E Downside</x:v>
      </x:c>
      <x:c r="F25" s="265" t="str">
        <x:v>Underwriting view</x:v>
      </x:c>
      <x:c r="G25" s="235"/>
      <x:c r="H25" s="235"/>
      <x:c r="I25" s="235"/>
      <x:c r="J25" s="235"/>
      <x:c r="K25" s="235"/>
      <x:c r="L25" s="235"/>
      <x:c r="M25" s="235"/>
      <x:c r="N25" s="235"/>
      <x:c r="O25" s="235"/>
      <x:c r="P25" s="235"/>
      <x:c r="Q25" s="235"/>
    </x:row>
    <x:row r="26">
      <x:c r="A26" s="235" t="str">
        <x:v>Revenue</x:v>
      </x:c>
      <x:c r="B26" s="244" t="n">
        <x:f>'Base Case'!C6</x:f>
        <x:v>16227</x:v>
      </x:c>
      <x:c r="C26" s="244" t="n">
        <x:f>'Downside'!C6</x:f>
        <x:v>15800</x:v>
      </x:c>
      <x:c r="D26" s="244" t="n">
        <x:f>'Base Case'!G6</x:f>
        <x:v>17703</x:v>
      </x:c>
      <x:c r="E26" s="244" t="n">
        <x:f>'Downside'!G6</x:f>
        <x:v>16035</x:v>
      </x:c>
      <x:c r="F26" s="235" t="str">
        <x:v>Stable category; pricing / volumes remain competitive</x:v>
      </x:c>
      <x:c r="G26" s="235"/>
      <x:c r="H26" s="235"/>
      <x:c r="I26" s="235"/>
      <x:c r="J26" s="235"/>
      <x:c r="K26" s="235"/>
      <x:c r="L26" s="235"/>
      <x:c r="M26" s="235"/>
      <x:c r="N26" s="235"/>
      <x:c r="O26" s="235"/>
      <x:c r="P26" s="235"/>
      <x:c r="Q26" s="235"/>
    </x:row>
    <x:row r="27">
      <x:c r="A27" s="235" t="str">
        <x:v>EBITDA</x:v>
      </x:c>
      <x:c r="B27" s="244" t="n">
        <x:f>'Base Case'!C9</x:f>
        <x:v>868</x:v>
      </x:c>
      <x:c r="C27" s="244" t="n">
        <x:f>'Downside'!C9</x:f>
        <x:v>751</x:v>
      </x:c>
      <x:c r="D27" s="244" t="n">
        <x:f>'Base Case'!G9</x:f>
        <x:v>1000</x:v>
      </x:c>
      <x:c r="E27" s="244" t="n">
        <x:f>'Downside'!G9</x:f>
        <x:v>802</x:v>
      </x:c>
      <x:c r="F27" s="235" t="str">
        <x:v>Downside tests margin compression below FY25A</x:v>
      </x:c>
      <x:c r="G27" s="235"/>
      <x:c r="H27" s="235"/>
      <x:c r="I27" s="235"/>
      <x:c r="J27" s="235"/>
      <x:c r="K27" s="235"/>
      <x:c r="L27" s="235"/>
      <x:c r="M27" s="235"/>
      <x:c r="N27" s="235"/>
      <x:c r="O27" s="235"/>
      <x:c r="P27" s="235"/>
      <x:c r="Q27" s="235"/>
    </x:row>
    <x:row r="28">
      <x:c r="A28" s="235" t="str">
        <x:v>Cash flow before debt paydown</x:v>
      </x:c>
      <x:c r="B28" s="244" t="n">
        <x:f>'Base Case'!C16</x:f>
        <x:v>34</x:v>
      </x:c>
      <x:c r="C28" s="244" t="n">
        <x:f>'Downside'!C16</x:f>
        <x:v>-25</x:v>
      </x:c>
      <x:c r="D28" s="244" t="n">
        <x:f>'Base Case'!G16</x:f>
        <x:v>44</x:v>
      </x:c>
      <x:c r="E28" s="244" t="n">
        <x:f>'Downside'!G16</x:f>
        <x:v>-90</x:v>
      </x:c>
      <x:c r="F28" s="235" t="str">
        <x:v>Tight at entry; improves with earnings and lower debt</x:v>
      </x:c>
      <x:c r="G28" s="235"/>
      <x:c r="H28" s="235"/>
      <x:c r="I28" s="235"/>
      <x:c r="J28" s="235"/>
      <x:c r="K28" s="235"/>
      <x:c r="L28" s="235"/>
      <x:c r="M28" s="235"/>
      <x:c r="N28" s="235"/>
      <x:c r="O28" s="235"/>
      <x:c r="P28" s="235"/>
      <x:c r="Q28" s="235"/>
    </x:row>
    <x:row r="29">
      <x:c r="A29" s="235" t="str">
        <x:v>Net leverage</x:v>
      </x:c>
      <x:c r="B29" s="245" t="n">
        <x:f>'Base Case'!C38</x:f>
        <x:v>3.5668202764976957</x:v>
      </x:c>
      <x:c r="C29" s="245" t="n">
        <x:f>'Downside'!C38</x:f>
        <x:v>4.201065246338215</x:v>
      </x:c>
      <x:c r="D29" s="245" t="n">
        <x:f>'Base Case'!G38</x:f>
        <x:v>2.942</x:v>
      </x:c>
      <x:c r="E29" s="245" t="n">
        <x:f>'Downside'!G38</x:f>
        <x:v>4.364089775561097</x:v>
      </x:c>
      <x:c r="F29" s="235" t="str">
        <x:v>Downside peak should remain below 4.5x</x:v>
      </x:c>
      <x:c r="G29" s="235"/>
      <x:c r="H29" s="235"/>
      <x:c r="I29" s="235"/>
      <x:c r="J29" s="235"/>
      <x:c r="K29" s="235"/>
      <x:c r="L29" s="235"/>
      <x:c r="M29" s="235"/>
      <x:c r="N29" s="235"/>
      <x:c r="O29" s="235"/>
      <x:c r="P29" s="235"/>
      <x:c r="Q29" s="235"/>
    </x:row>
    <x:row r="30">
      <x:c r="A30" s="235" t="str">
        <x:v>EBITDA / cash interest</x:v>
      </x:c>
      <x:c r="B30" s="245" t="n">
        <x:f>'Base Case'!C39</x:f>
        <x:v>2.3085106382978724</x:v>
      </x:c>
      <x:c r="C30" s="245" t="n">
        <x:f>'Downside'!C39</x:f>
        <x:v>1.997340425531915</x:v>
      </x:c>
      <x:c r="D30" s="245" t="n">
        <x:f>'Base Case'!G39</x:f>
        <x:v>2.7027027027027026</x:v>
      </x:c>
      <x:c r="E30" s="245" t="n">
        <x:f>'Downside'!G39</x:f>
        <x:v>2</x:v>
      </x:c>
      <x:c r="F30" s="235" t="str">
        <x:v>Downside floor near 1.9x is thin but serviceable</x:v>
      </x:c>
      <x:c r="G30" s="235"/>
      <x:c r="H30" s="235"/>
      <x:c r="I30" s="235"/>
      <x:c r="J30" s="235"/>
      <x:c r="K30" s="235"/>
      <x:c r="L30" s="235"/>
      <x:c r="M30" s="235"/>
      <x:c r="N30" s="235"/>
      <x:c r="O30" s="235"/>
      <x:c r="P30" s="235"/>
      <x:c r="Q30" s="235"/>
    </x:row>
    <x:row r="31">
      <x:c r="A31" s="235" t="str">
        <x:v>Liquidity</x:v>
      </x:c>
      <x:c r="B31" s="242" t="n">
        <x:f>'Base Case'!C40</x:f>
        <x:v>1329.2</x:v>
      </x:c>
      <x:c r="C31" s="242" t="n">
        <x:f>'Downside'!C40</x:f>
        <x:v>1299.5</x:v>
      </x:c>
      <x:c r="D31" s="242" t="n">
        <x:f>'Base Case'!G40</x:f>
        <x:v>1316.5</x:v>
      </x:c>
      <x:c r="E31" s="242" t="n">
        <x:f>'Downside'!G40</x:f>
        <x:v>852.5</x:v>
      </x:c>
      <x:c r="F31" s="235" t="str">
        <x:v>RCF provides material buffer; dividend leakage restricted</x:v>
      </x:c>
      <x:c r="G31" s="235"/>
      <x:c r="H31" s="235"/>
      <x:c r="I31" s="235"/>
      <x:c r="J31" s="235"/>
      <x:c r="K31" s="235"/>
      <x:c r="L31" s="235"/>
      <x:c r="M31" s="235"/>
      <x:c r="N31" s="235"/>
      <x:c r="O31" s="235"/>
      <x:c r="P31" s="235"/>
      <x:c r="Q31" s="235"/>
    </x:row>
    <x:row r="32">
      <x:c r="A32" s="235"/>
      <x:c r="B32" s="235"/>
      <x:c r="C32" s="235"/>
      <x:c r="D32" s="235"/>
      <x:c r="E32" s="235"/>
      <x:c r="F32" s="235"/>
      <x:c r="G32" s="235"/>
      <x:c r="H32" s="235"/>
      <x:c r="I32" s="235"/>
      <x:c r="J32" s="235"/>
      <x:c r="K32" s="235"/>
      <x:c r="L32" s="235"/>
      <x:c r="M32" s="235"/>
      <x:c r="N32" s="235"/>
      <x:c r="O32" s="235"/>
      <x:c r="P32" s="235"/>
      <x:c r="Q32" s="235"/>
    </x:row>
    <x:row r="33">
      <x:c r="A33" s="235"/>
      <x:c r="B33" s="235"/>
      <x:c r="C33" s="235"/>
      <x:c r="D33" s="235"/>
      <x:c r="E33" s="235"/>
      <x:c r="F33" s="235"/>
      <x:c r="G33" s="235"/>
      <x:c r="H33" s="235"/>
      <x:c r="I33" s="235"/>
      <x:c r="J33" s="235"/>
      <x:c r="K33" s="235"/>
      <x:c r="L33" s="235"/>
      <x:c r="M33" s="235"/>
      <x:c r="N33" s="235"/>
      <x:c r="O33" s="235"/>
      <x:c r="P33" s="235"/>
      <x:c r="Q33" s="235"/>
    </x:row>
    <x:row r="34">
      <x:c r="A34" s="11" t="str">
        <x:v>Interest Coverage Sensitivity | 2026E</x:v>
      </x:c>
      <x:c r="B34" s="11" t="str">
        <x:v>Interest Coverage Sensitivity | 2026E</x:v>
      </x:c>
      <x:c r="C34" s="11" t="str">
        <x:v>Interest Coverage Sensitivity | 2026E</x:v>
      </x:c>
      <x:c r="D34" s="11" t="str">
        <x:v>Interest Coverage Sensitivity | 2026E</x:v>
      </x:c>
      <x:c r="E34" s="11" t="str">
        <x:v>Interest Coverage Sensitivity | 2026E</x:v>
      </x:c>
      <x:c r="F34" s="11" t="str">
        <x:v>Interest Coverage Sensitivity | 2026E</x:v>
      </x:c>
      <x:c r="G34" s="11" t="str">
        <x:v>Interest Coverage Sensitivity | 2026E</x:v>
      </x:c>
      <x:c r="H34" s="235"/>
      <x:c r="I34" s="235"/>
      <x:c r="J34" s="235"/>
      <x:c r="K34" s="235"/>
      <x:c r="L34" s="235"/>
      <x:c r="M34" s="235"/>
      <x:c r="N34" s="235"/>
      <x:c r="O34" s="235"/>
      <x:c r="P34" s="235"/>
      <x:c r="Q34" s="235"/>
    </x:row>
    <x:row r="35">
      <x:c r="A35" s="240" t="str">
        <x:v>EBITDA haircut</x:v>
      </x:c>
      <x:c r="B35" s="240" t="str">
        <x:v>No rate shock</x:v>
      </x:c>
      <x:c r="C35" s="240" t="str">
        <x:v>+100 bps</x:v>
      </x:c>
      <x:c r="D35" s="240" t="str">
        <x:v>+200 bps</x:v>
      </x:c>
      <x:c r="E35" s="240" t="str">
        <x:v>Interpretation</x:v>
      </x:c>
      <x:c r="F35" s="235"/>
      <x:c r="G35" s="235"/>
      <x:c r="H35" s="235"/>
      <x:c r="I35" s="235"/>
      <x:c r="J35" s="235"/>
      <x:c r="K35" s="235"/>
      <x:c r="L35" s="235"/>
      <x:c r="M35" s="235"/>
      <x:c r="N35" s="235"/>
      <x:c r="O35" s="235"/>
      <x:c r="P35" s="235"/>
      <x:c r="Q35" s="235"/>
    </x:row>
    <x:row r="36">
      <x:c r="A36" s="273" t="n">
        <x:v>0</x:v>
      </x:c>
      <x:c r="B36" s="274" t="n">
        <x:f>('Base Case'!$C$9*(1-$A36))/(-'Base Case'!$C$11-'Base Case'!$C$12+('Debt Capacity'!$B$10*0%))</x:f>
        <x:v>2.3085106382978724</x:v>
      </x:c>
      <x:c r="C36" s="274" t="n">
        <x:f>('Base Case'!$C$9*(1-$A36))/(-'Base Case'!$C$11-'Base Case'!$C$12+('Debt Capacity'!$B$10*1%))</x:f>
        <x:v>2.112950340798442</x:v>
      </x:c>
      <x:c r="D36" s="274" t="n">
        <x:f>('Base Case'!$C$9*(1-$A36))/(-'Base Case'!$C$11-'Base Case'!$C$12+('Debt Capacity'!$B$10*2%))</x:f>
        <x:v>1.947935368043088</x:v>
      </x:c>
      <x:c r="E36" s="235" t="str">
        <x:v>Base case</x:v>
      </x:c>
      <x:c r="F36" s="235"/>
      <x:c r="G36" s="235"/>
      <x:c r="H36" s="235"/>
      <x:c r="I36" s="235"/>
      <x:c r="J36" s="235"/>
      <x:c r="K36" s="235"/>
      <x:c r="L36" s="235"/>
      <x:c r="M36" s="235"/>
      <x:c r="N36" s="235"/>
      <x:c r="O36" s="235"/>
      <x:c r="P36" s="235"/>
      <x:c r="Q36" s="235"/>
    </x:row>
    <x:row r="37">
      <x:c r="A37" s="273" t="n">
        <x:v>0.1</x:v>
      </x:c>
      <x:c r="B37" s="274" t="n">
        <x:f>('Base Case'!$C$9*(1-$A37))/(-'Base Case'!$C$11-'Base Case'!$C$12+('Debt Capacity'!$B$10*0%))</x:f>
        <x:v>2.0776595744680852</x:v>
      </x:c>
      <x:c r="C37" s="274" t="n">
        <x:f>('Base Case'!$C$9*(1-$A37))/(-'Base Case'!$C$11-'Base Case'!$C$12+('Debt Capacity'!$B$10*1%))</x:f>
        <x:v>1.901655306718598</x:v>
      </x:c>
      <x:c r="D37" s="274" t="n">
        <x:f>('Base Case'!$C$9*(1-$A37))/(-'Base Case'!$C$11-'Base Case'!$C$12+('Debt Capacity'!$B$10*2%))</x:f>
        <x:v>1.7531418312387792</x:v>
      </x:c>
      <x:c r="E37" s="235" t="str">
        <x:v>Moderate operating stress</x:v>
      </x:c>
      <x:c r="F37" s="235"/>
      <x:c r="G37" s="235"/>
      <x:c r="H37" s="235"/>
      <x:c r="I37" s="235"/>
      <x:c r="J37" s="235"/>
      <x:c r="K37" s="235"/>
      <x:c r="L37" s="235"/>
      <x:c r="M37" s="235"/>
      <x:c r="N37" s="235"/>
      <x:c r="O37" s="235"/>
      <x:c r="P37" s="235"/>
      <x:c r="Q37" s="235"/>
    </x:row>
    <x:row r="38">
      <x:c r="A38" s="273" t="n">
        <x:v>0.2</x:v>
      </x:c>
      <x:c r="B38" s="274" t="n">
        <x:f>('Base Case'!$C$9*(1-$A38))/(-'Base Case'!$C$11-'Base Case'!$C$12+('Debt Capacity'!$B$10*0%))</x:f>
        <x:v>1.846808510638298</x:v>
      </x:c>
      <x:c r="C38" s="274" t="n">
        <x:f>('Base Case'!$C$9*(1-$A38))/(-'Base Case'!$C$11-'Base Case'!$C$12+('Debt Capacity'!$B$10*1%))</x:f>
        <x:v>1.6903602726387539</x:v>
      </x:c>
      <x:c r="D38" s="274" t="n">
        <x:f>('Base Case'!$C$9*(1-$A38))/(-'Base Case'!$C$11-'Base Case'!$C$12+('Debt Capacity'!$B$10*2%))</x:f>
        <x:v>1.5583482944344704</x:v>
      </x:c>
      <x:c r="E38" s="235" t="str">
        <x:v>Severe operating stress</x:v>
      </x:c>
      <x:c r="F38" s="235"/>
      <x:c r="G38" s="235"/>
      <x:c r="H38" s="235"/>
      <x:c r="I38" s="235"/>
      <x:c r="J38" s="235"/>
      <x:c r="K38" s="235"/>
      <x:c r="L38" s="235"/>
      <x:c r="M38" s="235"/>
      <x:c r="N38" s="235"/>
      <x:c r="O38" s="235"/>
      <x:c r="P38" s="235"/>
      <x:c r="Q38" s="235"/>
    </x:row>
    <x:row r="39">
      <x:c r="A39" s="273" t="n">
        <x:v>0.25</x:v>
      </x:c>
      <x:c r="B39" s="274" t="n">
        <x:f>('Base Case'!$C$9*(1-$A39))/(-'Base Case'!$C$11-'Base Case'!$C$12+('Debt Capacity'!$B$10*0%))</x:f>
        <x:v>1.7313829787234043</x:v>
      </x:c>
      <x:c r="C39" s="274" t="n">
        <x:f>('Base Case'!$C$9*(1-$A39))/(-'Base Case'!$C$11-'Base Case'!$C$12+('Debt Capacity'!$B$10*1%))</x:f>
        <x:v>1.5847127555988314</x:v>
      </x:c>
      <x:c r="D39" s="274" t="n">
        <x:f>('Base Case'!$C$9*(1-$A39))/(-'Base Case'!$C$11-'Base Case'!$C$12+('Debt Capacity'!$B$10*2%))</x:f>
        <x:v>1.4609515260323158</x:v>
      </x:c>
      <x:c r="E39" s="235" t="str">
        <x:v>Severe + persistent stress</x:v>
      </x:c>
      <x:c r="F39" s="235"/>
      <x:c r="G39" s="235"/>
      <x:c r="H39" s="235"/>
      <x:c r="I39" s="235"/>
      <x:c r="J39" s="235"/>
      <x:c r="K39" s="235"/>
      <x:c r="L39" s="235"/>
      <x:c r="M39" s="235"/>
      <x:c r="N39" s="235"/>
      <x:c r="O39" s="235"/>
      <x:c r="P39" s="235"/>
      <x:c r="Q39" s="235"/>
    </x:row>
    <x:row r="40">
      <x:c r="A40" s="235"/>
      <x:c r="B40" s="235"/>
      <x:c r="C40" s="235"/>
      <x:c r="D40" s="235"/>
      <x:c r="E40" s="235" t="str">
        <x:v>Coverage includes lease interest</x:v>
      </x:c>
      <x:c r="F40" s="235"/>
      <x:c r="G40" s="235"/>
      <x:c r="H40" s="235"/>
      <x:c r="I40" s="235"/>
      <x:c r="J40" s="235"/>
      <x:c r="K40" s="235"/>
      <x:c r="L40" s="235"/>
      <x:c r="M40" s="235"/>
      <x:c r="N40" s="235"/>
      <x:c r="O40" s="235"/>
      <x:c r="P40" s="235"/>
      <x:c r="Q40" s="235"/>
    </x:row>
    <x:row r="41">
      <x:c r="A41" s="235"/>
      <x:c r="B41" s="235"/>
      <x:c r="C41" s="235"/>
      <x:c r="D41" s="235"/>
      <x:c r="E41" s="235"/>
      <x:c r="F41" s="235"/>
      <x:c r="G41" s="235"/>
      <x:c r="H41" s="235"/>
      <x:c r="I41" s="235"/>
      <x:c r="J41" s="235"/>
      <x:c r="K41" s="235"/>
      <x:c r="L41" s="235"/>
      <x:c r="M41" s="235"/>
      <x:c r="N41" s="235"/>
      <x:c r="O41" s="235"/>
      <x:c r="P41" s="235"/>
      <x:c r="Q41" s="235"/>
    </x:row>
    <x:row r="42">
      <x:c r="A42" s="235"/>
      <x:c r="B42" s="235"/>
      <x:c r="C42" s="235"/>
      <x:c r="D42" s="235"/>
      <x:c r="E42" s="235"/>
      <x:c r="F42" s="235"/>
      <x:c r="G42" s="235"/>
      <x:c r="H42" s="235"/>
      <x:c r="I42" s="235"/>
      <x:c r="J42" s="235"/>
      <x:c r="K42" s="235"/>
      <x:c r="L42" s="235"/>
      <x:c r="M42" s="235"/>
      <x:c r="N42" s="235"/>
      <x:c r="O42" s="235"/>
      <x:c r="P42" s="235"/>
      <x:c r="Q42" s="235"/>
    </x:row>
    <x:row r="43">
      <x:c r="A43" s="235"/>
      <x:c r="B43" s="235"/>
      <x:c r="C43" s="235"/>
      <x:c r="D43" s="235"/>
      <x:c r="E43" s="235"/>
      <x:c r="F43" s="235"/>
      <x:c r="G43" s="235"/>
      <x:c r="H43" s="235"/>
      <x:c r="I43" s="235"/>
      <x:c r="J43" s="235"/>
      <x:c r="K43" s="235"/>
      <x:c r="L43" s="235"/>
      <x:c r="M43" s="235"/>
      <x:c r="N43" s="235"/>
      <x:c r="O43" s="235"/>
      <x:c r="P43" s="235"/>
      <x:c r="Q43" s="235"/>
    </x:row>
    <x:row r="44">
      <x:c r="A44" s="235"/>
      <x:c r="B44" s="235"/>
      <x:c r="C44" s="235"/>
      <x:c r="D44" s="235"/>
      <x:c r="E44" s="235"/>
      <x:c r="F44" s="235"/>
      <x:c r="G44" s="235"/>
      <x:c r="H44" s="235"/>
      <x:c r="I44" s="235"/>
      <x:c r="J44" s="235"/>
      <x:c r="K44" s="235"/>
      <x:c r="L44" s="235"/>
      <x:c r="M44" s="235"/>
      <x:c r="N44" s="235"/>
      <x:c r="O44" s="235"/>
      <x:c r="P44" s="235"/>
      <x:c r="Q44" s="235"/>
    </x:row>
    <x:row r="45">
      <x:c r="A45" s="235"/>
      <x:c r="B45" s="235"/>
      <x:c r="C45" s="235"/>
      <x:c r="D45" s="235"/>
      <x:c r="E45" s="235"/>
      <x:c r="F45" s="235"/>
      <x:c r="G45" s="235"/>
      <x:c r="H45" s="235"/>
      <x:c r="I45" s="235"/>
      <x:c r="J45" s="235"/>
      <x:c r="K45" s="235"/>
      <x:c r="L45" s="235"/>
      <x:c r="M45" s="235"/>
      <x:c r="N45" s="235"/>
      <x:c r="O45" s="235"/>
      <x:c r="P45" s="235"/>
      <x:c r="Q45" s="235"/>
    </x:row>
    <x:row r="46">
      <x:c r="A46" s="235"/>
      <x:c r="B46" s="235"/>
      <x:c r="C46" s="235"/>
      <x:c r="D46" s="235"/>
      <x:c r="E46" s="235"/>
      <x:c r="F46" s="235"/>
      <x:c r="G46" s="235"/>
      <x:c r="H46" s="235"/>
      <x:c r="I46" s="235"/>
      <x:c r="J46" s="235"/>
      <x:c r="K46" s="235"/>
      <x:c r="L46" s="235"/>
      <x:c r="M46" s="235"/>
      <x:c r="N46" s="235"/>
      <x:c r="O46" s="235"/>
      <x:c r="P46" s="235"/>
      <x:c r="Q46" s="235"/>
    </x:row>
    <x:row r="47">
      <x:c r="A47" s="235"/>
      <x:c r="B47" s="235"/>
      <x:c r="C47" s="235"/>
      <x:c r="D47" s="235"/>
      <x:c r="E47" s="235"/>
      <x:c r="F47" s="235"/>
      <x:c r="G47" s="235"/>
      <x:c r="H47" s="235"/>
      <x:c r="I47" s="235"/>
      <x:c r="J47" s="235"/>
      <x:c r="K47" s="235"/>
      <x:c r="L47" s="235"/>
      <x:c r="M47" s="235"/>
      <x:c r="N47" s="235"/>
      <x:c r="O47" s="235"/>
      <x:c r="P47" s="235"/>
      <x:c r="Q47" s="235"/>
    </x:row>
    <x:row r="48">
      <x:c r="A48" s="235"/>
      <x:c r="B48" s="235"/>
      <x:c r="C48" s="235"/>
      <x:c r="D48" s="235"/>
      <x:c r="E48" s="235"/>
      <x:c r="F48" s="235"/>
      <x:c r="G48" s="235"/>
      <x:c r="H48" s="235"/>
      <x:c r="I48" s="235"/>
      <x:c r="J48" s="235"/>
      <x:c r="K48" s="235"/>
      <x:c r="L48" s="235"/>
      <x:c r="M48" s="235"/>
      <x:c r="N48" s="235"/>
      <x:c r="O48" s="235"/>
      <x:c r="P48" s="235"/>
      <x:c r="Q48" s="235"/>
    </x:row>
    <x:row r="49">
      <x:c r="A49" s="235"/>
      <x:c r="B49" s="235"/>
      <x:c r="C49" s="235"/>
      <x:c r="D49" s="235"/>
      <x:c r="E49" s="235"/>
      <x:c r="F49" s="235"/>
      <x:c r="G49" s="235"/>
      <x:c r="H49" s="235"/>
      <x:c r="I49" s="235"/>
      <x:c r="J49" s="235"/>
      <x:c r="K49" s="235"/>
      <x:c r="L49" s="235"/>
      <x:c r="M49" s="235"/>
      <x:c r="N49" s="235"/>
      <x:c r="O49" s="235"/>
      <x:c r="P49" s="235"/>
      <x:c r="Q49" s="235"/>
    </x:row>
    <x:row r="50">
      <x:c r="A50" s="235"/>
      <x:c r="B50" s="235"/>
      <x:c r="C50" s="235"/>
      <x:c r="D50" s="235"/>
      <x:c r="E50" s="235"/>
      <x:c r="F50" s="235"/>
      <x:c r="G50" s="235"/>
      <x:c r="H50" s="235"/>
      <x:c r="I50" s="235"/>
      <x:c r="J50" s="235"/>
      <x:c r="K50" s="235"/>
      <x:c r="L50" s="235"/>
      <x:c r="M50" s="235"/>
      <x:c r="N50" s="235"/>
      <x:c r="O50" s="235"/>
      <x:c r="P50" s="235"/>
      <x:c r="Q50" s="235"/>
    </x:row>
    <x:row r="51">
      <x:c r="A51" s="235"/>
      <x:c r="B51" s="235"/>
      <x:c r="C51" s="235"/>
      <x:c r="D51" s="235"/>
      <x:c r="E51" s="235"/>
      <x:c r="F51" s="235"/>
      <x:c r="G51" s="235"/>
      <x:c r="H51" s="235"/>
      <x:c r="I51" s="235"/>
      <x:c r="J51" s="235"/>
      <x:c r="K51" s="235"/>
      <x:c r="L51" s="235"/>
      <x:c r="M51" s="235"/>
      <x:c r="N51" s="235"/>
      <x:c r="O51" s="235"/>
      <x:c r="P51" s="235"/>
      <x:c r="Q51" s="235"/>
    </x:row>
    <x:row r="52">
      <x:c r="A52" s="235"/>
      <x:c r="B52" s="235"/>
      <x:c r="C52" s="235"/>
      <x:c r="D52" s="235"/>
      <x:c r="E52" s="235"/>
      <x:c r="F52" s="235"/>
      <x:c r="G52" s="235"/>
      <x:c r="H52" s="235"/>
      <x:c r="I52" s="235"/>
      <x:c r="J52" s="235"/>
      <x:c r="K52" s="235"/>
      <x:c r="L52" s="235"/>
      <x:c r="M52" s="235"/>
      <x:c r="N52" s="235"/>
      <x:c r="O52" s="235"/>
      <x:c r="P52" s="235"/>
      <x:c r="Q52" s="235"/>
    </x:row>
    <x:row r="53">
      <x:c r="A53" s="235"/>
      <x:c r="B53" s="235"/>
      <x:c r="C53" s="235"/>
      <x:c r="D53" s="235"/>
      <x:c r="E53" s="235"/>
      <x:c r="F53" s="235"/>
      <x:c r="G53" s="235"/>
      <x:c r="H53" s="235"/>
      <x:c r="I53" s="235"/>
      <x:c r="J53" s="235"/>
      <x:c r="K53" s="235"/>
      <x:c r="L53" s="235"/>
      <x:c r="M53" s="235"/>
      <x:c r="N53" s="235"/>
      <x:c r="O53" s="235"/>
      <x:c r="P53" s="235"/>
      <x:c r="Q53" s="235"/>
    </x:row>
    <x:row r="54">
      <x:c r="A54" s="235"/>
      <x:c r="B54" s="235"/>
      <x:c r="C54" s="235"/>
      <x:c r="D54" s="235"/>
      <x:c r="E54" s="235"/>
      <x:c r="F54" s="235"/>
      <x:c r="G54" s="235"/>
      <x:c r="H54" s="235"/>
      <x:c r="I54" s="235"/>
      <x:c r="J54" s="235"/>
      <x:c r="K54" s="235"/>
      <x:c r="L54" s="235"/>
      <x:c r="M54" s="235"/>
      <x:c r="N54" s="235"/>
      <x:c r="O54" s="235"/>
      <x:c r="P54" s="235"/>
      <x:c r="Q54" s="235"/>
    </x:row>
    <x:row r="55">
      <x:c r="A55" s="235"/>
      <x:c r="B55" s="235"/>
      <x:c r="C55" s="235"/>
      <x:c r="D55" s="235"/>
      <x:c r="E55" s="235"/>
      <x:c r="F55" s="235"/>
      <x:c r="G55" s="235"/>
      <x:c r="H55" s="235"/>
      <x:c r="I55" s="235"/>
      <x:c r="J55" s="235"/>
      <x:c r="K55" s="235"/>
      <x:c r="L55" s="235"/>
      <x:c r="M55" s="235"/>
      <x:c r="N55" s="235"/>
      <x:c r="O55" s="235"/>
      <x:c r="P55" s="235"/>
      <x:c r="Q55" s="235"/>
    </x:row>
    <x:row r="56">
      <x:c r="A56" s="235"/>
      <x:c r="B56" s="235"/>
      <x:c r="C56" s="235"/>
      <x:c r="D56" s="235"/>
      <x:c r="E56" s="235"/>
      <x:c r="F56" s="235"/>
      <x:c r="G56" s="235"/>
      <x:c r="H56" s="235"/>
      <x:c r="I56" s="235"/>
      <x:c r="J56" s="235"/>
      <x:c r="K56" s="235"/>
      <x:c r="L56" s="235"/>
      <x:c r="M56" s="235"/>
      <x:c r="N56" s="235"/>
      <x:c r="O56" s="235"/>
      <x:c r="P56" s="235"/>
      <x:c r="Q56" s="235"/>
    </x:row>
    <x:row r="57">
      <x:c r="A57" s="235"/>
      <x:c r="B57" s="235"/>
      <x:c r="C57" s="235"/>
      <x:c r="D57" s="235"/>
      <x:c r="E57" s="235"/>
      <x:c r="F57" s="235"/>
      <x:c r="G57" s="235"/>
      <x:c r="H57" s="235"/>
      <x:c r="I57" s="235"/>
      <x:c r="J57" s="235"/>
      <x:c r="K57" s="235"/>
      <x:c r="L57" s="235"/>
      <x:c r="M57" s="235"/>
      <x:c r="N57" s="235"/>
      <x:c r="O57" s="235"/>
      <x:c r="P57" s="235"/>
      <x:c r="Q57" s="235"/>
    </x:row>
    <x:row r="58">
      <x:c r="A58" s="235"/>
      <x:c r="B58" s="235"/>
      <x:c r="C58" s="235"/>
      <x:c r="D58" s="235"/>
      <x:c r="E58" s="235"/>
      <x:c r="F58" s="235"/>
      <x:c r="G58" s="235"/>
      <x:c r="H58" s="235"/>
      <x:c r="I58" s="235"/>
      <x:c r="J58" s="235"/>
      <x:c r="K58" s="235"/>
      <x:c r="L58" s="235"/>
      <x:c r="M58" s="235"/>
      <x:c r="N58" s="235"/>
      <x:c r="O58" s="235"/>
      <x:c r="P58" s="235"/>
      <x:c r="Q58" s="235"/>
    </x:row>
    <x:row r="59">
      <x:c r="A59" s="235"/>
      <x:c r="B59" s="235"/>
      <x:c r="C59" s="235"/>
      <x:c r="D59" s="235"/>
      <x:c r="E59" s="235"/>
      <x:c r="F59" s="235"/>
      <x:c r="G59" s="235"/>
      <x:c r="H59" s="235"/>
      <x:c r="I59" s="235"/>
      <x:c r="J59" s="235"/>
      <x:c r="K59" s="235"/>
      <x:c r="L59" s="235"/>
      <x:c r="M59" s="235"/>
      <x:c r="N59" s="235"/>
      <x:c r="O59" s="235"/>
      <x:c r="P59" s="235"/>
      <x:c r="Q59" s="235"/>
    </x:row>
    <x:row r="60">
      <x:c r="A60" s="235"/>
      <x:c r="B60" s="235"/>
      <x:c r="C60" s="235"/>
      <x:c r="D60" s="235"/>
      <x:c r="E60" s="235"/>
      <x:c r="F60" s="235"/>
      <x:c r="G60" s="235"/>
      <x:c r="H60" s="235"/>
      <x:c r="I60" s="235"/>
      <x:c r="J60" s="235"/>
      <x:c r="K60" s="235"/>
      <x:c r="L60" s="235"/>
      <x:c r="M60" s="235"/>
      <x:c r="N60" s="235"/>
      <x:c r="O60" s="235"/>
      <x:c r="P60" s="235"/>
      <x:c r="Q60" s="235"/>
    </x:row>
  </x:sheetData>
  <x:mergeCells>
    <x:mergeCell ref="A1:K1"/>
    <x:mergeCell ref="A2:K2"/>
    <x:mergeCell ref="A4:G4"/>
    <x:mergeCell ref="A13:G13"/>
    <x:mergeCell ref="B14:G14"/>
    <x:mergeCell ref="B15:G15"/>
    <x:mergeCell ref="B16:G16"/>
    <x:mergeCell ref="B17:G17"/>
    <x:mergeCell ref="B18:G18"/>
    <x:mergeCell ref="B19:G19"/>
    <x:mergeCell ref="B20:G20"/>
    <x:mergeCell ref="B21:G21"/>
    <x:mergeCell ref="A24:G24"/>
    <x:mergeCell ref="A34:G34"/>
  </x:mergeCells>
  <x:conditionalFormatting sqref="B36:D39">
    <x:cfRule type="cellIs" dxfId="4" priority="1" operator="lessThan">
      <x:formula>1.8</x:formula>
    </x:cfRule>
  </x:conditionalFormatting>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8" hidden="0" customWidth="1"/>
    <x:col min="2" max="2" width="34" hidden="0" customWidth="1"/>
    <x:col min="3" max="3" width="16" hidden="0" customWidth="1"/>
    <x:col min="4" max="4" width="38" hidden="0" customWidth="1"/>
    <x:col min="5" max="5" width="70" hidden="0" customWidth="1"/>
    <x:col min="6" max="6" width="12" hidden="0" customWidth="1"/>
    <x:col min="7" max="7" width="12" hidden="0" customWidth="1"/>
    <x:col min="8" max="8" width="12" hidden="0" customWidth="1"/>
  </x:cols>
  <x:sheetData>
    <x:row r="1" ht="31" customHeight="1">
      <x:c r="A1" s="5" t="str">
        <x:v>Sources, Methodology &amp; Model Checks</x:v>
      </x:c>
      <x:c r="B1" s="5" t="str">
        <x:v>Sources, Methodology &amp; Model Checks</x:v>
      </x:c>
      <x:c r="C1" s="5" t="str">
        <x:v>Sources, Methodology &amp; Model Checks</x:v>
      </x:c>
      <x:c r="D1" s="5" t="str">
        <x:v>Sources, Methodology &amp; Model Checks</x:v>
      </x:c>
      <x:c r="E1" s="5" t="str">
        <x:v>Sources, Methodology &amp; Model Checks</x:v>
      </x:c>
      <x:c r="F1" s="5" t="str">
        <x:v>Sources, Methodology &amp; Model Checks</x:v>
      </x:c>
      <x:c r="G1" s="5" t="str">
        <x:v>Sources, Methodology &amp; Model Checks</x:v>
      </x:c>
      <x:c r="H1" s="5" t="str">
        <x:v>Sources, Methodology &amp; Model Checks</x:v>
      </x:c>
      <x:c r="I1" s="233"/>
      <x:c r="J1" s="233"/>
      <x:c r="K1" s="233"/>
      <x:c r="L1" s="233"/>
      <x:c r="M1" s="233"/>
      <x:c r="N1" s="233"/>
      <x:c r="O1" s="233"/>
      <x:c r="P1" s="233"/>
      <x:c r="Q1" s="233"/>
    </x:row>
    <x:row r="2" ht="24" customHeight="1">
      <x:c r="A2" s="234" t="str">
        <x:v>Information cut-off: 17 June 2026. Public information only.</x:v>
      </x:c>
      <x:c r="B2" s="234" t="str">
        <x:v>Information cut-off: 17 June 2026. Public information only.</x:v>
      </x:c>
      <x:c r="C2" s="234" t="str">
        <x:v>Information cut-off: 17 June 2026. Public information only.</x:v>
      </x:c>
      <x:c r="D2" s="234" t="str">
        <x:v>Information cut-off: 17 June 2026. Public information only.</x:v>
      </x:c>
      <x:c r="E2" s="234" t="str">
        <x:v>Information cut-off: 17 June 2026. Public information only.</x:v>
      </x:c>
      <x:c r="F2" s="234" t="str">
        <x:v>Information cut-off: 17 June 2026. Public information only.</x:v>
      </x:c>
      <x:c r="G2" s="234" t="str">
        <x:v>Information cut-off: 17 June 2026. Public information only.</x:v>
      </x:c>
      <x:c r="H2" s="234" t="str">
        <x:v>Information cut-off: 17 June 2026. Public information only.</x:v>
      </x:c>
      <x:c r="I2" s="235"/>
      <x:c r="J2" s="235"/>
      <x:c r="K2" s="235"/>
      <x:c r="L2" s="235"/>
      <x:c r="M2" s="235"/>
      <x:c r="N2" s="235"/>
      <x:c r="O2" s="235"/>
      <x:c r="P2" s="235"/>
      <x:c r="Q2" s="235"/>
    </x:row>
    <x:row r="3">
      <x:c r="A3" s="235"/>
      <x:c r="B3" s="235"/>
      <x:c r="C3" s="235"/>
      <x:c r="D3" s="235"/>
      <x:c r="E3" s="235"/>
      <x:c r="F3" s="235"/>
      <x:c r="G3" s="235"/>
      <x:c r="H3" s="235"/>
      <x:c r="I3" s="235"/>
      <x:c r="J3" s="235"/>
      <x:c r="K3" s="235"/>
      <x:c r="L3" s="235"/>
      <x:c r="M3" s="235"/>
      <x:c r="N3" s="235"/>
      <x:c r="O3" s="235"/>
      <x:c r="P3" s="235"/>
      <x:c r="Q3" s="235"/>
    </x:row>
    <x:row r="4">
      <x:c r="A4" s="11" t="str">
        <x:v>Primary / Market Sources</x:v>
      </x:c>
      <x:c r="B4" s="11" t="str">
        <x:v>Primary / Market Sources</x:v>
      </x:c>
      <x:c r="C4" s="11" t="str">
        <x:v>Primary / Market Sources</x:v>
      </x:c>
      <x:c r="D4" s="11" t="str">
        <x:v>Primary / Market Sources</x:v>
      </x:c>
      <x:c r="E4" s="11" t="str">
        <x:v>Primary / Market Sources</x:v>
      </x:c>
      <x:c r="F4" s="11" t="str">
        <x:v>Primary / Market Sources</x:v>
      </x:c>
      <x:c r="G4" s="11" t="str">
        <x:v>Primary / Market Sources</x:v>
      </x:c>
      <x:c r="H4" s="11" t="str">
        <x:v>Primary / Market Sources</x:v>
      </x:c>
      <x:c r="I4" s="235"/>
      <x:c r="J4" s="235"/>
      <x:c r="K4" s="235"/>
      <x:c r="L4" s="235"/>
      <x:c r="M4" s="235"/>
      <x:c r="N4" s="235"/>
      <x:c r="O4" s="235"/>
      <x:c r="P4" s="235"/>
      <x:c r="Q4" s="235"/>
    </x:row>
    <x:row r="5">
      <x:c r="A5" s="265" t="str">
        <x:v>#</x:v>
      </x:c>
      <x:c r="B5" s="265" t="str">
        <x:v>Source</x:v>
      </x:c>
      <x:c r="C5" s="265" t="str">
        <x:v>Date</x:v>
      </x:c>
      <x:c r="D5" s="265" t="str">
        <x:v>Use in model</x:v>
      </x:c>
      <x:c r="E5" s="265" t="str">
        <x:v>URL</x:v>
      </x:c>
      <x:c r="F5" s="235"/>
      <x:c r="G5" s="235"/>
      <x:c r="H5" s="235"/>
      <x:c r="I5" s="235"/>
      <x:c r="J5" s="235"/>
      <x:c r="K5" s="235"/>
      <x:c r="L5" s="235"/>
      <x:c r="M5" s="235"/>
      <x:c r="N5" s="235"/>
      <x:c r="O5" s="235"/>
      <x:c r="P5" s="235"/>
      <x:c r="Q5" s="235"/>
    </x:row>
    <x:row r="6">
      <x:c r="A6" s="235" t="n">
        <x:v>1</x:v>
      </x:c>
      <x:c r="B6" s="235" t="str">
        <x:v>Market Bidco Limited FY2024 annual report</x:v>
      </x:c>
      <x:c r="C6" s="235" t="str">
        <x:v>27-Oct-2024</x:v>
      </x:c>
      <x:c r="D6" s="235" t="str">
        <x:v>Consolidated EBITDA, cash flow, debt, leases, interest</x:v>
      </x:c>
      <x:c r="E6" s="275" t="str">
        <x:v>https://find-and-update.company-information.service.gov.uk/company/13537474/filing-history</x:v>
      </x:c>
      <x:c r="F6" s="235"/>
      <x:c r="G6" s="235"/>
      <x:c r="H6" s="235"/>
      <x:c r="I6" s="235"/>
      <x:c r="J6" s="235"/>
      <x:c r="K6" s="235"/>
      <x:c r="L6" s="235"/>
      <x:c r="M6" s="235"/>
      <x:c r="N6" s="235"/>
      <x:c r="O6" s="235"/>
      <x:c r="P6" s="235"/>
      <x:c r="Q6" s="235"/>
    </x:row>
    <x:row r="7">
      <x:c r="A7" s="235" t="n">
        <x:v>2</x:v>
      </x:c>
      <x:c r="B7" s="235" t="str">
        <x:v>Morrisons FY2024/25 results</x:v>
      </x:c>
      <x:c r="C7" s="235" t="str">
        <x:v>21-Jan-2026</x:v>
      </x:c>
      <x:c r="D7" s="235" t="str">
        <x:v>FY25A revenue, EBITDA, cost headwinds and savings</x:v>
      </x:c>
      <x:c r="E7" s="275" t="str">
        <x:v>https://www.morrisons-corporate.com/media-centre/corporate-news/morrisons-full-year-202425-results-and-christmas-2025-trading-update/</x:v>
      </x:c>
      <x:c r="F7" s="235"/>
      <x:c r="G7" s="235"/>
      <x:c r="H7" s="235"/>
      <x:c r="I7" s="235"/>
      <x:c r="J7" s="235"/>
      <x:c r="K7" s="235"/>
      <x:c r="L7" s="235"/>
      <x:c r="M7" s="235"/>
      <x:c r="N7" s="235"/>
      <x:c r="O7" s="235"/>
      <x:c r="P7" s="235"/>
      <x:c r="Q7" s="235"/>
    </x:row>
    <x:row r="8">
      <x:c r="A8" s="235" t="n">
        <x:v>3</x:v>
      </x:c>
      <x:c r="B8" s="235" t="str">
        <x:v>Morrisons Q2 FY2025/26 update</x:v>
      </x:c>
      <x:c r="C8" s="235" t="str">
        <x:v>17-Jun-2026</x:v>
      </x:c>
      <x:c r="D8" s="235" t="str">
        <x:v>Current trading, H1 EBITDA and savings progress</x:v>
      </x:c>
      <x:c r="E8" s="275" t="str">
        <x:v>https://www.morrisons-corporate.com/media-centre/corporate-news/morrisons-trading-update-for-q2-202526/</x:v>
      </x:c>
      <x:c r="F8" s="235"/>
      <x:c r="G8" s="235"/>
      <x:c r="H8" s="235"/>
      <x:c r="I8" s="235"/>
      <x:c r="J8" s="235"/>
      <x:c r="K8" s="235"/>
      <x:c r="L8" s="235"/>
      <x:c r="M8" s="235"/>
      <x:c r="N8" s="235"/>
      <x:c r="O8" s="235"/>
      <x:c r="P8" s="235"/>
      <x:c r="Q8" s="235"/>
    </x:row>
    <x:row r="9">
      <x:c r="A9" s="235" t="n">
        <x:v>4</x:v>
      </x:c>
      <x:c r="B9" s="235" t="str">
        <x:v>Morrisons Q3 FY2024/25 update</x:v>
      </x:c>
      <x:c r="C9" s="235" t="str">
        <x:v>17-Sep-2025</x:v>
      </x:c>
      <x:c r="D9" s="235" t="str">
        <x:v>Post-refinancing gross debt c.£3.5bn and £261m reduction</x:v>
      </x:c>
      <x:c r="E9" s="275" t="str">
        <x:v>https://www.morrisons-corporate.com/media-centre/corporate-news/morrisons-trading-update-for-q3-202425/</x:v>
      </x:c>
      <x:c r="F9" s="235"/>
      <x:c r="G9" s="235"/>
      <x:c r="H9" s="235"/>
      <x:c r="I9" s="235"/>
      <x:c r="J9" s="235"/>
      <x:c r="K9" s="235"/>
      <x:c r="L9" s="235"/>
      <x:c r="M9" s="235"/>
      <x:c r="N9" s="235"/>
      <x:c r="O9" s="235"/>
      <x:c r="P9" s="235"/>
      <x:c r="Q9" s="235"/>
    </x:row>
    <x:row r="10">
      <x:c r="A10" s="235" t="n">
        <x:v>5</x:v>
      </x:c>
      <x:c r="B10" s="235" t="str">
        <x:v>2024 debt reduction results</x:v>
      </x:c>
      <x:c r="C10" s="235" t="str">
        <x:v>03-Jun-2024</x:v>
      </x:c>
      <x:c r="D10" s="235" t="str">
        <x:v>Tendered debt and remaining principal</x:v>
      </x:c>
      <x:c r="E10" s="275" t="str">
        <x:v>https://www.investegate.co.uk/announcement/rns/wm-morrison-supermarkets-limited--91wz/results-of-debt-reduction-exercise/8238709</x:v>
      </x:c>
      <x:c r="F10" s="235"/>
      <x:c r="G10" s="235"/>
      <x:c r="H10" s="235"/>
      <x:c r="I10" s="235"/>
      <x:c r="J10" s="235"/>
      <x:c r="K10" s="235"/>
      <x:c r="L10" s="235"/>
      <x:c r="M10" s="235"/>
      <x:c r="N10" s="235"/>
      <x:c r="O10" s="235"/>
      <x:c r="P10" s="235"/>
      <x:c r="Q10" s="235"/>
    </x:row>
    <x:row r="11">
      <x:c r="A11" s="235" t="n">
        <x:v>6</x:v>
      </x:c>
      <x:c r="B11" s="235" t="str">
        <x:v>2024 loan amendment and extension</x:v>
      </x:c>
      <x:c r="C11" s="235" t="str">
        <x:v>18-Nov-2024</x:v>
      </x:c>
      <x:c r="D11" s="235" t="str">
        <x:v>Term loans and RCF extended to 2030; £200m reduction</x:v>
      </x:c>
      <x:c r="E11" s="275" t="str">
        <x:v>https://www.investegate.co.uk/announcement/rns/wm-morrison-supermarkets-limited--99wz/amendment-and-extension-of-senior-loan-facilities/8556711</x:v>
      </x:c>
      <x:c r="F11" s="235"/>
      <x:c r="G11" s="235"/>
      <x:c r="H11" s="235"/>
      <x:c r="I11" s="235"/>
      <x:c r="J11" s="235"/>
      <x:c r="K11" s="235"/>
      <x:c r="L11" s="235"/>
      <x:c r="M11" s="235"/>
      <x:c r="N11" s="235"/>
      <x:c r="O11" s="235"/>
      <x:c r="P11" s="235"/>
      <x:c r="Q11" s="235"/>
    </x:row>
    <x:row r="12">
      <x:c r="A12" s="235" t="n">
        <x:v>7</x:v>
      </x:c>
      <x:c r="B12" s="235" t="str">
        <x:v>TISE GBP 2031 notes listing</x:v>
      </x:c>
      <x:c r="C12" s="235" t="str">
        <x:v>23-Sep-2025</x:v>
      </x:c>
      <x:c r="D12" s="235" t="str">
        <x:v>£500m 8.75% secured notes due 2031</x:v>
      </x:c>
      <x:c r="E12" s="275" t="str">
        <x:v>https://tisegroup.com/market/securities/MARFIN1</x:v>
      </x:c>
      <x:c r="F12" s="235"/>
      <x:c r="G12" s="235"/>
      <x:c r="H12" s="235"/>
      <x:c r="I12" s="235"/>
      <x:c r="J12" s="235"/>
      <x:c r="K12" s="235"/>
      <x:c r="L12" s="235"/>
      <x:c r="M12" s="235"/>
      <x:c r="N12" s="235"/>
      <x:c r="O12" s="235"/>
      <x:c r="P12" s="235"/>
      <x:c r="Q12" s="235"/>
    </x:row>
    <x:row r="13">
      <x:c r="A13" s="235" t="n">
        <x:v>8</x:v>
      </x:c>
      <x:c r="B13" s="235" t="str">
        <x:v>TISE EUR / GBP admission notice</x:v>
      </x:c>
      <x:c r="C13" s="235" t="str">
        <x:v>23-Sep-2025</x:v>
      </x:c>
      <x:c r="D13" s="235" t="str">
        <x:v>€500m 6.75% and £500m 8.75% secured notes</x:v>
      </x:c>
      <x:c r="E13" s="275" t="str">
        <x:v>https://www.tisegroup.com/market/news/350368</x:v>
      </x:c>
      <x:c r="F13" s="235"/>
      <x:c r="G13" s="235"/>
      <x:c r="H13" s="235"/>
      <x:c r="I13" s="235"/>
      <x:c r="J13" s="235"/>
      <x:c r="K13" s="235"/>
      <x:c r="L13" s="235"/>
      <x:c r="M13" s="235"/>
      <x:c r="N13" s="235"/>
      <x:c r="O13" s="235"/>
      <x:c r="P13" s="235"/>
      <x:c r="Q13" s="235"/>
    </x:row>
    <x:row r="14">
      <x:c r="A14" s="235" t="n">
        <x:v>9</x:v>
      </x:c>
      <x:c r="B14" s="235" t="str">
        <x:v>S&amp;P refinancing commentary</x:v>
      </x:c>
      <x:c r="C14" s="235" t="str">
        <x:v>14-Oct-2024</x:v>
      </x:c>
      <x:c r="D14" s="235" t="str">
        <x:v>Independent market context on leverage and recovery</x:v>
      </x:c>
      <x:c r="E14" s="275" t="str">
        <x:v>https://www.spglobal.com/ratings/en/regulatory/article/-/view/sourceId/13290515</x:v>
      </x:c>
      <x:c r="F14" s="235"/>
      <x:c r="G14" s="235"/>
      <x:c r="H14" s="235"/>
      <x:c r="I14" s="235"/>
      <x:c r="J14" s="235"/>
      <x:c r="K14" s="235"/>
      <x:c r="L14" s="235"/>
      <x:c r="M14" s="235"/>
      <x:c r="N14" s="235"/>
      <x:c r="O14" s="235"/>
      <x:c r="P14" s="235"/>
      <x:c r="Q14" s="235"/>
    </x:row>
    <x:row r="15">
      <x:c r="A15" s="235"/>
      <x:c r="B15" s="235"/>
      <x:c r="C15" s="235"/>
      <x:c r="D15" s="235"/>
      <x:c r="E15" s="235"/>
      <x:c r="F15" s="235"/>
      <x:c r="G15" s="235"/>
      <x:c r="H15" s="235"/>
      <x:c r="I15" s="235"/>
      <x:c r="J15" s="235"/>
      <x:c r="K15" s="235"/>
      <x:c r="L15" s="235"/>
      <x:c r="M15" s="235"/>
      <x:c r="N15" s="235"/>
      <x:c r="O15" s="235"/>
      <x:c r="P15" s="235"/>
      <x:c r="Q15" s="235"/>
    </x:row>
    <x:row r="16">
      <x:c r="A16" s="246" t="str">
        <x:v>Methodology: FY23A–FY24A cash flow and debt data are taken from Market Bidco consolidated accounts. FY25A operating KPIs use Morrisons’ trading update because FY25 statutory accounts were not yet filed at the valuation date. The post-refinancing debt stack is reconstructed from public tender announcements and exchange listings. GBP equivalents, opening cash, margins, pricing and proposed covenant terms are explicit independent assumptions. No non-public information was used.</x:v>
      </x:c>
      <x:c r="B16" s="246" t="str">
        <x:v>Methodology: FY23A–FY24A cash flow and debt data are taken from Market Bidco consolidated accounts. FY25A operating KPIs use Morrisons’ trading update because FY25 statutory accounts were not yet filed at the valuation date. The post-refinancing debt stack is reconstructed from public tender announcements and exchange listings. GBP equivalents, opening cash, margins, pricing and proposed covenant terms are explicit independent assumptions. No non-public information was used.</x:v>
      </x:c>
      <x:c r="C16" s="246" t="str">
        <x:v>Methodology: FY23A–FY24A cash flow and debt data are taken from Market Bidco consolidated accounts. FY25A operating KPIs use Morrisons’ trading update because FY25 statutory accounts were not yet filed at the valuation date. The post-refinancing debt stack is reconstructed from public tender announcements and exchange listings. GBP equivalents, opening cash, margins, pricing and proposed covenant terms are explicit independent assumptions. No non-public information was used.</x:v>
      </x:c>
      <x:c r="D16" s="246" t="str">
        <x:v>Methodology: FY23A–FY24A cash flow and debt data are taken from Market Bidco consolidated accounts. FY25A operating KPIs use Morrisons’ trading update because FY25 statutory accounts were not yet filed at the valuation date. The post-refinancing debt stack is reconstructed from public tender announcements and exchange listings. GBP equivalents, opening cash, margins, pricing and proposed covenant terms are explicit independent assumptions. No non-public information was used.</x:v>
      </x:c>
      <x:c r="E16" s="246" t="str">
        <x:v>Methodology: FY23A–FY24A cash flow and debt data are taken from Market Bidco consolidated accounts. FY25A operating KPIs use Morrisons’ trading update because FY25 statutory accounts were not yet filed at the valuation date. The post-refinancing debt stack is reconstructed from public tender announcements and exchange listings. GBP equivalents, opening cash, margins, pricing and proposed covenant terms are explicit independent assumptions. No non-public information was used.</x:v>
      </x:c>
      <x:c r="F16" s="246" t="str">
        <x:v>Methodology: FY23A–FY24A cash flow and debt data are taken from Market Bidco consolidated accounts. FY25A operating KPIs use Morrisons’ trading update because FY25 statutory accounts were not yet filed at the valuation date. The post-refinancing debt stack is reconstructed from public tender announcements and exchange listings. GBP equivalents, opening cash, margins, pricing and proposed covenant terms are explicit independent assumptions. No non-public information was used.</x:v>
      </x:c>
      <x:c r="G16" s="246" t="str">
        <x:v>Methodology: FY23A–FY24A cash flow and debt data are taken from Market Bidco consolidated accounts. FY25A operating KPIs use Morrisons’ trading update because FY25 statutory accounts were not yet filed at the valuation date. The post-refinancing debt stack is reconstructed from public tender announcements and exchange listings. GBP equivalents, opening cash, margins, pricing and proposed covenant terms are explicit independent assumptions. No non-public information was used.</x:v>
      </x:c>
      <x:c r="H16" s="246" t="str">
        <x:v>Methodology: FY23A–FY24A cash flow and debt data are taken from Market Bidco consolidated accounts. FY25A operating KPIs use Morrisons’ trading update because FY25 statutory accounts were not yet filed at the valuation date. The post-refinancing debt stack is reconstructed from public tender announcements and exchange listings. GBP equivalents, opening cash, margins, pricing and proposed covenant terms are explicit independent assumptions. No non-public information was used.</x:v>
      </x:c>
      <x:c r="I16" s="235"/>
      <x:c r="J16" s="235"/>
      <x:c r="K16" s="235"/>
      <x:c r="L16" s="235"/>
      <x:c r="M16" s="235"/>
      <x:c r="N16" s="235"/>
      <x:c r="O16" s="235"/>
      <x:c r="P16" s="235"/>
      <x:c r="Q16" s="235"/>
    </x:row>
    <x:row r="17">
      <x:c r="A17" s="246" t="str">
        <x:v>Methodology: FY23A–FY24A cash flow and debt data are taken from Market Bidco consolidated accounts. FY25A operating KPIs use Morrisons’ trading update because FY25 statutory accounts were not yet filed at the valuation date. The post-refinancing debt stack is reconstructed from public tender announcements and exchange listings. GBP equivalents, opening cash, margins, pricing and proposed covenant terms are explicit independent assumptions. No non-public information was used.</x:v>
      </x:c>
      <x:c r="B17" s="246" t="str">
        <x:v>Methodology: FY23A–FY24A cash flow and debt data are taken from Market Bidco consolidated accounts. FY25A operating KPIs use Morrisons’ trading update because FY25 statutory accounts were not yet filed at the valuation date. The post-refinancing debt stack is reconstructed from public tender announcements and exchange listings. GBP equivalents, opening cash, margins, pricing and proposed covenant terms are explicit independent assumptions. No non-public information was used.</x:v>
      </x:c>
      <x:c r="C17" s="246" t="str">
        <x:v>Methodology: FY23A–FY24A cash flow and debt data are taken from Market Bidco consolidated accounts. FY25A operating KPIs use Morrisons’ trading update because FY25 statutory accounts were not yet filed at the valuation date. The post-refinancing debt stack is reconstructed from public tender announcements and exchange listings. GBP equivalents, opening cash, margins, pricing and proposed covenant terms are explicit independent assumptions. No non-public information was used.</x:v>
      </x:c>
      <x:c r="D17" s="246" t="str">
        <x:v>Methodology: FY23A–FY24A cash flow and debt data are taken from Market Bidco consolidated accounts. FY25A operating KPIs use Morrisons’ trading update because FY25 statutory accounts were not yet filed at the valuation date. The post-refinancing debt stack is reconstructed from public tender announcements and exchange listings. GBP equivalents, opening cash, margins, pricing and proposed covenant terms are explicit independent assumptions. No non-public information was used.</x:v>
      </x:c>
      <x:c r="E17" s="246" t="str">
        <x:v>Methodology: FY23A–FY24A cash flow and debt data are taken from Market Bidco consolidated accounts. FY25A operating KPIs use Morrisons’ trading update because FY25 statutory accounts were not yet filed at the valuation date. The post-refinancing debt stack is reconstructed from public tender announcements and exchange listings. GBP equivalents, opening cash, margins, pricing and proposed covenant terms are explicit independent assumptions. No non-public information was used.</x:v>
      </x:c>
      <x:c r="F17" s="246" t="str">
        <x:v>Methodology: FY23A–FY24A cash flow and debt data are taken from Market Bidco consolidated accounts. FY25A operating KPIs use Morrisons’ trading update because FY25 statutory accounts were not yet filed at the valuation date. The post-refinancing debt stack is reconstructed from public tender announcements and exchange listings. GBP equivalents, opening cash, margins, pricing and proposed covenant terms are explicit independent assumptions. No non-public information was used.</x:v>
      </x:c>
      <x:c r="G17" s="246" t="str">
        <x:v>Methodology: FY23A–FY24A cash flow and debt data are taken from Market Bidco consolidated accounts. FY25A operating KPIs use Morrisons’ trading update because FY25 statutory accounts were not yet filed at the valuation date. The post-refinancing debt stack is reconstructed from public tender announcements and exchange listings. GBP equivalents, opening cash, margins, pricing and proposed covenant terms are explicit independent assumptions. No non-public information was used.</x:v>
      </x:c>
      <x:c r="H17" s="246" t="str">
        <x:v>Methodology: FY23A–FY24A cash flow and debt data are taken from Market Bidco consolidated accounts. FY25A operating KPIs use Morrisons’ trading update because FY25 statutory accounts were not yet filed at the valuation date. The post-refinancing debt stack is reconstructed from public tender announcements and exchange listings. GBP equivalents, opening cash, margins, pricing and proposed covenant terms are explicit independent assumptions. No non-public information was used.</x:v>
      </x:c>
      <x:c r="I17" s="235"/>
      <x:c r="J17" s="235"/>
      <x:c r="K17" s="235"/>
      <x:c r="L17" s="235"/>
      <x:c r="M17" s="235"/>
      <x:c r="N17" s="235"/>
      <x:c r="O17" s="235"/>
      <x:c r="P17" s="235"/>
      <x:c r="Q17" s="235"/>
    </x:row>
    <x:row r="18">
      <x:c r="A18" s="246" t="str">
        <x:v>Methodology: FY23A–FY24A cash flow and debt data are taken from Market Bidco consolidated accounts. FY25A operating KPIs use Morrisons’ trading update because FY25 statutory accounts were not yet filed at the valuation date. The post-refinancing debt stack is reconstructed from public tender announcements and exchange listings. GBP equivalents, opening cash, margins, pricing and proposed covenant terms are explicit independent assumptions. No non-public information was used.</x:v>
      </x:c>
      <x:c r="B18" s="246" t="str">
        <x:v>Methodology: FY23A–FY24A cash flow and debt data are taken from Market Bidco consolidated accounts. FY25A operating KPIs use Morrisons’ trading update because FY25 statutory accounts were not yet filed at the valuation date. The post-refinancing debt stack is reconstructed from public tender announcements and exchange listings. GBP equivalents, opening cash, margins, pricing and proposed covenant terms are explicit independent assumptions. No non-public information was used.</x:v>
      </x:c>
      <x:c r="C18" s="246" t="str">
        <x:v>Methodology: FY23A–FY24A cash flow and debt data are taken from Market Bidco consolidated accounts. FY25A operating KPIs use Morrisons’ trading update because FY25 statutory accounts were not yet filed at the valuation date. The post-refinancing debt stack is reconstructed from public tender announcements and exchange listings. GBP equivalents, opening cash, margins, pricing and proposed covenant terms are explicit independent assumptions. No non-public information was used.</x:v>
      </x:c>
      <x:c r="D18" s="246" t="str">
        <x:v>Methodology: FY23A–FY24A cash flow and debt data are taken from Market Bidco consolidated accounts. FY25A operating KPIs use Morrisons’ trading update because FY25 statutory accounts were not yet filed at the valuation date. The post-refinancing debt stack is reconstructed from public tender announcements and exchange listings. GBP equivalents, opening cash, margins, pricing and proposed covenant terms are explicit independent assumptions. No non-public information was used.</x:v>
      </x:c>
      <x:c r="E18" s="246" t="str">
        <x:v>Methodology: FY23A–FY24A cash flow and debt data are taken from Market Bidco consolidated accounts. FY25A operating KPIs use Morrisons’ trading update because FY25 statutory accounts were not yet filed at the valuation date. The post-refinancing debt stack is reconstructed from public tender announcements and exchange listings. GBP equivalents, opening cash, margins, pricing and proposed covenant terms are explicit independent assumptions. No non-public information was used.</x:v>
      </x:c>
      <x:c r="F18" s="246" t="str">
        <x:v>Methodology: FY23A–FY24A cash flow and debt data are taken from Market Bidco consolidated accounts. FY25A operating KPIs use Morrisons’ trading update because FY25 statutory accounts were not yet filed at the valuation date. The post-refinancing debt stack is reconstructed from public tender announcements and exchange listings. GBP equivalents, opening cash, margins, pricing and proposed covenant terms are explicit independent assumptions. No non-public information was used.</x:v>
      </x:c>
      <x:c r="G18" s="246" t="str">
        <x:v>Methodology: FY23A–FY24A cash flow and debt data are taken from Market Bidco consolidated accounts. FY25A operating KPIs use Morrisons’ trading update because FY25 statutory accounts were not yet filed at the valuation date. The post-refinancing debt stack is reconstructed from public tender announcements and exchange listings. GBP equivalents, opening cash, margins, pricing and proposed covenant terms are explicit independent assumptions. No non-public information was used.</x:v>
      </x:c>
      <x:c r="H18" s="246" t="str">
        <x:v>Methodology: FY23A–FY24A cash flow and debt data are taken from Market Bidco consolidated accounts. FY25A operating KPIs use Morrisons’ trading update because FY25 statutory accounts were not yet filed at the valuation date. The post-refinancing debt stack is reconstructed from public tender announcements and exchange listings. GBP equivalents, opening cash, margins, pricing and proposed covenant terms are explicit independent assumptions. No non-public information was used.</x:v>
      </x:c>
      <x:c r="I18" s="235"/>
      <x:c r="J18" s="235"/>
      <x:c r="K18" s="235"/>
      <x:c r="L18" s="235"/>
      <x:c r="M18" s="235"/>
      <x:c r="N18" s="235"/>
      <x:c r="O18" s="235"/>
      <x:c r="P18" s="235"/>
      <x:c r="Q18" s="235"/>
    </x:row>
    <x:row r="19">
      <x:c r="A19" s="246" t="str">
        <x:v>Methodology: FY23A–FY24A cash flow and debt data are taken from Market Bidco consolidated accounts. FY25A operating KPIs use Morrisons’ trading update because FY25 statutory accounts were not yet filed at the valuation date. The post-refinancing debt stack is reconstructed from public tender announcements and exchange listings. GBP equivalents, opening cash, margins, pricing and proposed covenant terms are explicit independent assumptions. No non-public information was used.</x:v>
      </x:c>
      <x:c r="B19" s="246" t="str">
        <x:v>Methodology: FY23A–FY24A cash flow and debt data are taken from Market Bidco consolidated accounts. FY25A operating KPIs use Morrisons’ trading update because FY25 statutory accounts were not yet filed at the valuation date. The post-refinancing debt stack is reconstructed from public tender announcements and exchange listings. GBP equivalents, opening cash, margins, pricing and proposed covenant terms are explicit independent assumptions. No non-public information was used.</x:v>
      </x:c>
      <x:c r="C19" s="246" t="str">
        <x:v>Methodology: FY23A–FY24A cash flow and debt data are taken from Market Bidco consolidated accounts. FY25A operating KPIs use Morrisons’ trading update because FY25 statutory accounts were not yet filed at the valuation date. The post-refinancing debt stack is reconstructed from public tender announcements and exchange listings. GBP equivalents, opening cash, margins, pricing and proposed covenant terms are explicit independent assumptions. No non-public information was used.</x:v>
      </x:c>
      <x:c r="D19" s="246" t="str">
        <x:v>Methodology: FY23A–FY24A cash flow and debt data are taken from Market Bidco consolidated accounts. FY25A operating KPIs use Morrisons’ trading update because FY25 statutory accounts were not yet filed at the valuation date. The post-refinancing debt stack is reconstructed from public tender announcements and exchange listings. GBP equivalents, opening cash, margins, pricing and proposed covenant terms are explicit independent assumptions. No non-public information was used.</x:v>
      </x:c>
      <x:c r="E19" s="246" t="str">
        <x:v>Methodology: FY23A–FY24A cash flow and debt data are taken from Market Bidco consolidated accounts. FY25A operating KPIs use Morrisons’ trading update because FY25 statutory accounts were not yet filed at the valuation date. The post-refinancing debt stack is reconstructed from public tender announcements and exchange listings. GBP equivalents, opening cash, margins, pricing and proposed covenant terms are explicit independent assumptions. No non-public information was used.</x:v>
      </x:c>
      <x:c r="F19" s="246" t="str">
        <x:v>Methodology: FY23A–FY24A cash flow and debt data are taken from Market Bidco consolidated accounts. FY25A operating KPIs use Morrisons’ trading update because FY25 statutory accounts were not yet filed at the valuation date. The post-refinancing debt stack is reconstructed from public tender announcements and exchange listings. GBP equivalents, opening cash, margins, pricing and proposed covenant terms are explicit independent assumptions. No non-public information was used.</x:v>
      </x:c>
      <x:c r="G19" s="246" t="str">
        <x:v>Methodology: FY23A–FY24A cash flow and debt data are taken from Market Bidco consolidated accounts. FY25A operating KPIs use Morrisons’ trading update because FY25 statutory accounts were not yet filed at the valuation date. The post-refinancing debt stack is reconstructed from public tender announcements and exchange listings. GBP equivalents, opening cash, margins, pricing and proposed covenant terms are explicit independent assumptions. No non-public information was used.</x:v>
      </x:c>
      <x:c r="H19" s="246" t="str">
        <x:v>Methodology: FY23A–FY24A cash flow and debt data are taken from Market Bidco consolidated accounts. FY25A operating KPIs use Morrisons’ trading update because FY25 statutory accounts were not yet filed at the valuation date. The post-refinancing debt stack is reconstructed from public tender announcements and exchange listings. GBP equivalents, opening cash, margins, pricing and proposed covenant terms are explicit independent assumptions. No non-public information was used.</x:v>
      </x:c>
      <x:c r="I19" s="235"/>
      <x:c r="J19" s="235"/>
      <x:c r="K19" s="235"/>
      <x:c r="L19" s="235"/>
      <x:c r="M19" s="235"/>
      <x:c r="N19" s="235"/>
      <x:c r="O19" s="235"/>
      <x:c r="P19" s="235"/>
      <x:c r="Q19" s="235"/>
    </x:row>
    <x:row r="20">
      <x:c r="A20" s="235"/>
      <x:c r="B20" s="235"/>
      <x:c r="C20" s="235"/>
      <x:c r="D20" s="235"/>
      <x:c r="E20" s="235"/>
      <x:c r="F20" s="235"/>
      <x:c r="G20" s="235"/>
      <x:c r="H20" s="235"/>
      <x:c r="I20" s="235"/>
      <x:c r="J20" s="235"/>
      <x:c r="K20" s="235"/>
      <x:c r="L20" s="235"/>
      <x:c r="M20" s="235"/>
      <x:c r="N20" s="235"/>
      <x:c r="O20" s="235"/>
      <x:c r="P20" s="235"/>
      <x:c r="Q20" s="235"/>
    </x:row>
    <x:row r="21">
      <x:c r="A21" s="235"/>
      <x:c r="B21" s="235"/>
      <x:c r="C21" s="235"/>
      <x:c r="D21" s="235"/>
      <x:c r="E21" s="235"/>
      <x:c r="F21" s="235"/>
      <x:c r="G21" s="235"/>
      <x:c r="H21" s="235"/>
      <x:c r="I21" s="235"/>
      <x:c r="J21" s="235"/>
      <x:c r="K21" s="235"/>
      <x:c r="L21" s="235"/>
      <x:c r="M21" s="235"/>
      <x:c r="N21" s="235"/>
      <x:c r="O21" s="235"/>
      <x:c r="P21" s="235"/>
      <x:c r="Q21" s="235"/>
    </x:row>
    <x:row r="22">
      <x:c r="A22" s="11" t="str">
        <x:v>Model Checks</x:v>
      </x:c>
      <x:c r="B22" s="11" t="str">
        <x:v>Model Checks</x:v>
      </x:c>
      <x:c r="C22" s="11" t="str">
        <x:v>Model Checks</x:v>
      </x:c>
      <x:c r="D22" s="11" t="str">
        <x:v>Model Checks</x:v>
      </x:c>
      <x:c r="E22" s="11" t="str">
        <x:v>Model Checks</x:v>
      </x:c>
      <x:c r="F22" s="11" t="str">
        <x:v>Model Checks</x:v>
      </x:c>
      <x:c r="G22" s="11" t="str">
        <x:v>Model Checks</x:v>
      </x:c>
      <x:c r="H22" s="11" t="str">
        <x:v>Model Checks</x:v>
      </x:c>
      <x:c r="I22" s="235"/>
      <x:c r="J22" s="235"/>
      <x:c r="K22" s="235"/>
      <x:c r="L22" s="235"/>
      <x:c r="M22" s="235"/>
      <x:c r="N22" s="235"/>
      <x:c r="O22" s="235"/>
      <x:c r="P22" s="235"/>
      <x:c r="Q22" s="235"/>
    </x:row>
    <x:row r="23">
      <x:c r="A23" s="240" t="str">
        <x:v>Check</x:v>
      </x:c>
      <x:c r="B23" s="240" t="str">
        <x:v>Formula / test</x:v>
      </x:c>
      <x:c r="C23" s="240" t="str">
        <x:v>Result</x:v>
      </x:c>
      <x:c r="D23" s="240" t="str">
        <x:v>Status</x:v>
      </x:c>
      <x:c r="E23" s="235"/>
      <x:c r="F23" s="235"/>
      <x:c r="G23" s="235"/>
      <x:c r="H23" s="235"/>
      <x:c r="I23" s="235"/>
      <x:c r="J23" s="235"/>
      <x:c r="K23" s="235"/>
      <x:c r="L23" s="235"/>
      <x:c r="M23" s="235"/>
      <x:c r="N23" s="235"/>
      <x:c r="O23" s="235"/>
      <x:c r="P23" s="235"/>
      <x:c r="Q23" s="235"/>
    </x:row>
    <x:row r="24">
      <x:c r="A24" s="235" t="str">
        <x:v>Sources populated</x:v>
      </x:c>
      <x:c r="B24" s="235" t="str">
        <x:v>Primary sources listed</x:v>
      </x:c>
      <x:c r="C24" s="235" t="n">
        <x:v>9</x:v>
      </x:c>
      <x:c r="D24" s="235" t="str">
        <x:f>IF(C24&gt;=8,"OK","FAIL")</x:f>
        <x:v>OK</x:v>
      </x:c>
      <x:c r="E24" s="235"/>
      <x:c r="F24" s="235"/>
      <x:c r="G24" s="235"/>
      <x:c r="H24" s="235"/>
      <x:c r="I24" s="235"/>
      <x:c r="J24" s="235"/>
      <x:c r="K24" s="235"/>
      <x:c r="L24" s="235"/>
      <x:c r="M24" s="235"/>
      <x:c r="N24" s="235"/>
      <x:c r="O24" s="235"/>
      <x:c r="P24" s="235"/>
      <x:c r="Q24" s="235"/>
    </x:row>
    <x:row r="25">
      <x:c r="A25" s="235" t="str">
        <x:v>Opening debt reconciles</x:v>
      </x:c>
      <x:c r="B25" s="235" t="str">
        <x:v>TLB + notes + proposed facility</x:v>
      </x:c>
      <x:c r="C25" s="276" t="n">
        <x:f>'Debt Capacity'!B10</x:f>
        <x:v>3480</x:v>
      </x:c>
      <x:c r="D25" s="235" t="str">
        <x:f>IF(ABS(C25-3480)&lt;1,"OK","FAIL")</x:f>
        <x:v>OK</x:v>
      </x:c>
      <x:c r="E25" s="235"/>
      <x:c r="F25" s="235"/>
      <x:c r="G25" s="235"/>
      <x:c r="H25" s="235"/>
      <x:c r="I25" s="235"/>
      <x:c r="J25" s="235"/>
      <x:c r="K25" s="235"/>
      <x:c r="L25" s="235"/>
      <x:c r="M25" s="235"/>
      <x:c r="N25" s="235"/>
      <x:c r="O25" s="235"/>
      <x:c r="P25" s="235"/>
      <x:c r="Q25" s="235"/>
    </x:row>
    <x:row r="26">
      <x:c r="A26" s="235" t="str">
        <x:v>Base cash never below minimum</x:v>
      </x:c>
      <x:c r="B26" s="235" t="str">
        <x:v>MIN closing cash &gt;= £300m</x:v>
      </x:c>
      <x:c r="C26" s="276" t="n">
        <x:f>MIN('Base Case'!C35:G35)</x:f>
        <x:v>314.4</x:v>
      </x:c>
      <x:c r="D26" s="235" t="str">
        <x:f>IF(C26&gt;=299.9,"OK","FAIL")</x:f>
        <x:v>OK</x:v>
      </x:c>
      <x:c r="E26" s="235"/>
      <x:c r="F26" s="235"/>
      <x:c r="G26" s="235"/>
      <x:c r="H26" s="235"/>
      <x:c r="I26" s="235"/>
      <x:c r="J26" s="235"/>
      <x:c r="K26" s="235"/>
      <x:c r="L26" s="235"/>
      <x:c r="M26" s="235"/>
      <x:c r="N26" s="235"/>
      <x:c r="O26" s="235"/>
      <x:c r="P26" s="235"/>
      <x:c r="Q26" s="235"/>
    </x:row>
    <x:row r="27">
      <x:c r="A27" s="235" t="str">
        <x:v>Downside cash never below minimum</x:v>
      </x:c>
      <x:c r="B27" s="235" t="str">
        <x:v>MIN closing cash &gt;= £300m</x:v>
      </x:c>
      <x:c r="C27" s="276" t="n">
        <x:f>MIN('Downside'!C35:G35)</x:f>
        <x:v>300</x:v>
      </x:c>
      <x:c r="D27" s="235" t="str">
        <x:f>IF(C27&gt;=299.9,"OK","FAIL")</x:f>
        <x:v>OK</x:v>
      </x:c>
      <x:c r="E27" s="235"/>
      <x:c r="F27" s="235"/>
      <x:c r="G27" s="235"/>
      <x:c r="H27" s="235"/>
      <x:c r="I27" s="235"/>
      <x:c r="J27" s="235"/>
      <x:c r="K27" s="235"/>
      <x:c r="L27" s="235"/>
      <x:c r="M27" s="235"/>
      <x:c r="N27" s="235"/>
      <x:c r="O27" s="235"/>
      <x:c r="P27" s="235"/>
      <x:c r="Q27" s="235"/>
    </x:row>
    <x:row r="28">
      <x:c r="A28" s="235" t="str">
        <x:v>Base debt remains non-negative</x:v>
      </x:c>
      <x:c r="B28" s="235" t="str">
        <x:v>MIN debt tranches &gt;= 0</x:v>
      </x:c>
      <x:c r="C28" s="276" t="n">
        <x:f>MIN('Base Case'!C23:G23,'Base Case'!C26:G26,'Base Case'!C29:G29,'Base Case'!C33:G33)</x:f>
        <x:v>0</x:v>
      </x:c>
      <x:c r="D28" s="235" t="str">
        <x:f>IF(C28&gt;=0,"OK","FAIL")</x:f>
        <x:v>OK</x:v>
      </x:c>
      <x:c r="E28" s="235"/>
      <x:c r="F28" s="235"/>
      <x:c r="G28" s="235"/>
      <x:c r="H28" s="235"/>
      <x:c r="I28" s="235"/>
      <x:c r="J28" s="235"/>
      <x:c r="K28" s="235"/>
      <x:c r="L28" s="235"/>
      <x:c r="M28" s="235"/>
      <x:c r="N28" s="235"/>
      <x:c r="O28" s="235"/>
      <x:c r="P28" s="235"/>
      <x:c r="Q28" s="235"/>
    </x:row>
    <x:row r="29">
      <x:c r="A29" s="235" t="str">
        <x:v>Downside debt remains non-negative</x:v>
      </x:c>
      <x:c r="B29" s="235" t="str">
        <x:v>MIN debt tranches &gt;= 0</x:v>
      </x:c>
      <x:c r="C29" s="276" t="n">
        <x:f>MIN('Downside'!C23:G23,'Downside'!C26:G26,'Downside'!C29:G29,'Downside'!C33:G33)</x:f>
        <x:v>0.5</x:v>
      </x:c>
      <x:c r="D29" s="235" t="str">
        <x:f>IF(C29&gt;=0,"OK","FAIL")</x:f>
        <x:v>OK</x:v>
      </x:c>
      <x:c r="E29" s="235"/>
      <x:c r="F29" s="235"/>
      <x:c r="G29" s="235"/>
      <x:c r="H29" s="235"/>
      <x:c r="I29" s="235"/>
      <x:c r="J29" s="235"/>
      <x:c r="K29" s="235"/>
      <x:c r="L29" s="235"/>
      <x:c r="M29" s="235"/>
      <x:c r="N29" s="235"/>
      <x:c r="O29" s="235"/>
      <x:c r="P29" s="235"/>
      <x:c r="Q29" s="235"/>
    </x:row>
    <x:row r="30">
      <x:c r="A30" s="235" t="str">
        <x:v>No base leverage error</x:v>
      </x:c>
      <x:c r="B30" s="235" t="str">
        <x:v>MIN EBITDA &gt; 0</x:v>
      </x:c>
      <x:c r="C30" s="276" t="n">
        <x:f>MIN('Base Case'!C9:G9)</x:f>
        <x:v>868</x:v>
      </x:c>
      <x:c r="D30" s="235" t="str">
        <x:f>IF(C30&gt;0,"OK","FAIL")</x:f>
        <x:v>OK</x:v>
      </x:c>
      <x:c r="E30" s="235"/>
      <x:c r="F30" s="235"/>
      <x:c r="G30" s="235"/>
      <x:c r="H30" s="235"/>
      <x:c r="I30" s="235"/>
      <x:c r="J30" s="235"/>
      <x:c r="K30" s="235"/>
      <x:c r="L30" s="235"/>
      <x:c r="M30" s="235"/>
      <x:c r="N30" s="235"/>
      <x:c r="O30" s="235"/>
      <x:c r="P30" s="235"/>
      <x:c r="Q30" s="235"/>
    </x:row>
    <x:row r="31">
      <x:c r="A31" s="235" t="str">
        <x:v>No downside leverage error</x:v>
      </x:c>
      <x:c r="B31" s="235" t="str">
        <x:v>MIN EBITDA &gt; 0</x:v>
      </x:c>
      <x:c r="C31" s="276" t="n">
        <x:f>MIN('Downside'!C9:G9)</x:f>
        <x:v>727</x:v>
      </x:c>
      <x:c r="D31" s="235" t="str">
        <x:f>IF(C31&gt;0,"OK","FAIL")</x:f>
        <x:v>OK</x:v>
      </x:c>
      <x:c r="E31" s="235"/>
      <x:c r="F31" s="235"/>
      <x:c r="G31" s="235"/>
      <x:c r="H31" s="235"/>
      <x:c r="I31" s="235"/>
      <x:c r="J31" s="235"/>
      <x:c r="K31" s="235"/>
      <x:c r="L31" s="235"/>
      <x:c r="M31" s="235"/>
      <x:c r="N31" s="235"/>
      <x:c r="O31" s="235"/>
      <x:c r="P31" s="235"/>
      <x:c r="Q31" s="235"/>
    </x:row>
    <x:row r="32">
      <x:c r="A32" s="235"/>
      <x:c r="B32" s="235"/>
      <x:c r="C32" s="235"/>
      <x:c r="D32" s="235"/>
      <x:c r="E32" s="235"/>
      <x:c r="F32" s="235"/>
      <x:c r="G32" s="235"/>
      <x:c r="H32" s="235"/>
      <x:c r="I32" s="235"/>
      <x:c r="J32" s="235"/>
      <x:c r="K32" s="235"/>
      <x:c r="L32" s="235"/>
      <x:c r="M32" s="235"/>
      <x:c r="N32" s="235"/>
      <x:c r="O32" s="235"/>
      <x:c r="P32" s="235"/>
      <x:c r="Q32" s="235"/>
    </x:row>
    <x:row r="33">
      <x:c r="A33" s="235"/>
      <x:c r="B33" s="235"/>
      <x:c r="C33" s="235"/>
      <x:c r="D33" s="235"/>
      <x:c r="E33" s="235"/>
      <x:c r="F33" s="235"/>
      <x:c r="G33" s="235"/>
      <x:c r="H33" s="235"/>
      <x:c r="I33" s="235"/>
      <x:c r="J33" s="235"/>
      <x:c r="K33" s="235"/>
      <x:c r="L33" s="235"/>
      <x:c r="M33" s="235"/>
      <x:c r="N33" s="235"/>
      <x:c r="O33" s="235"/>
      <x:c r="P33" s="235"/>
      <x:c r="Q33" s="235"/>
    </x:row>
    <x:row r="34">
      <x:c r="A34" s="235"/>
      <x:c r="B34" s="235"/>
      <x:c r="C34" s="235"/>
      <x:c r="D34" s="235"/>
      <x:c r="E34" s="235"/>
      <x:c r="F34" s="235"/>
      <x:c r="G34" s="235"/>
      <x:c r="H34" s="235"/>
      <x:c r="I34" s="235"/>
      <x:c r="J34" s="235"/>
      <x:c r="K34" s="235"/>
      <x:c r="L34" s="235"/>
      <x:c r="M34" s="235"/>
      <x:c r="N34" s="235"/>
      <x:c r="O34" s="235"/>
      <x:c r="P34" s="235"/>
      <x:c r="Q34" s="235"/>
    </x:row>
    <x:row r="35">
      <x:c r="A35" s="235"/>
      <x:c r="B35" s="235"/>
      <x:c r="C35" s="235"/>
      <x:c r="D35" s="235"/>
      <x:c r="E35" s="235"/>
      <x:c r="F35" s="235"/>
      <x:c r="G35" s="235"/>
      <x:c r="H35" s="235"/>
      <x:c r="I35" s="235"/>
      <x:c r="J35" s="235"/>
      <x:c r="K35" s="235"/>
      <x:c r="L35" s="235"/>
      <x:c r="M35" s="235"/>
      <x:c r="N35" s="235"/>
      <x:c r="O35" s="235"/>
      <x:c r="P35" s="235"/>
      <x:c r="Q35" s="235"/>
    </x:row>
    <x:row r="36">
      <x:c r="A36" s="235"/>
      <x:c r="B36" s="235"/>
      <x:c r="C36" s="235"/>
      <x:c r="D36" s="235"/>
      <x:c r="E36" s="235"/>
      <x:c r="F36" s="235"/>
      <x:c r="G36" s="235"/>
      <x:c r="H36" s="235"/>
      <x:c r="I36" s="235"/>
      <x:c r="J36" s="235"/>
      <x:c r="K36" s="235"/>
      <x:c r="L36" s="235"/>
      <x:c r="M36" s="235"/>
      <x:c r="N36" s="235"/>
      <x:c r="O36" s="235"/>
      <x:c r="P36" s="235"/>
      <x:c r="Q36" s="235"/>
    </x:row>
    <x:row r="37">
      <x:c r="A37" s="235"/>
      <x:c r="B37" s="235"/>
      <x:c r="C37" s="235"/>
      <x:c r="D37" s="235"/>
      <x:c r="E37" s="235"/>
      <x:c r="F37" s="235"/>
      <x:c r="G37" s="235"/>
      <x:c r="H37" s="235"/>
      <x:c r="I37" s="235"/>
      <x:c r="J37" s="235"/>
      <x:c r="K37" s="235"/>
      <x:c r="L37" s="235"/>
      <x:c r="M37" s="235"/>
      <x:c r="N37" s="235"/>
      <x:c r="O37" s="235"/>
      <x:c r="P37" s="235"/>
      <x:c r="Q37" s="235"/>
    </x:row>
    <x:row r="38">
      <x:c r="A38" s="235"/>
      <x:c r="B38" s="235"/>
      <x:c r="C38" s="235"/>
      <x:c r="D38" s="235"/>
      <x:c r="E38" s="235"/>
      <x:c r="F38" s="235"/>
      <x:c r="G38" s="235"/>
      <x:c r="H38" s="235"/>
      <x:c r="I38" s="235"/>
      <x:c r="J38" s="235"/>
      <x:c r="K38" s="235"/>
      <x:c r="L38" s="235"/>
      <x:c r="M38" s="235"/>
      <x:c r="N38" s="235"/>
      <x:c r="O38" s="235"/>
      <x:c r="P38" s="235"/>
      <x:c r="Q38" s="235"/>
    </x:row>
    <x:row r="39">
      <x:c r="A39" s="235"/>
      <x:c r="B39" s="235"/>
      <x:c r="C39" s="235"/>
      <x:c r="D39" s="235"/>
      <x:c r="E39" s="235"/>
      <x:c r="F39" s="235"/>
      <x:c r="G39" s="235"/>
      <x:c r="H39" s="235"/>
      <x:c r="I39" s="235"/>
      <x:c r="J39" s="235"/>
      <x:c r="K39" s="235"/>
      <x:c r="L39" s="235"/>
      <x:c r="M39" s="235"/>
      <x:c r="N39" s="235"/>
      <x:c r="O39" s="235"/>
      <x:c r="P39" s="235"/>
      <x:c r="Q39" s="235"/>
    </x:row>
    <x:row r="40">
      <x:c r="A40" s="235"/>
      <x:c r="B40" s="235"/>
      <x:c r="C40" s="235"/>
      <x:c r="D40" s="235"/>
      <x:c r="E40" s="235"/>
      <x:c r="F40" s="235"/>
      <x:c r="G40" s="235"/>
      <x:c r="H40" s="235"/>
      <x:c r="I40" s="235"/>
      <x:c r="J40" s="235"/>
      <x:c r="K40" s="235"/>
      <x:c r="L40" s="235"/>
      <x:c r="M40" s="235"/>
      <x:c r="N40" s="235"/>
      <x:c r="O40" s="235"/>
      <x:c r="P40" s="235"/>
      <x:c r="Q40" s="235"/>
    </x:row>
    <x:row r="41">
      <x:c r="A41" s="235"/>
      <x:c r="B41" s="235"/>
      <x:c r="C41" s="235"/>
      <x:c r="D41" s="235"/>
      <x:c r="E41" s="235"/>
      <x:c r="F41" s="235"/>
      <x:c r="G41" s="235"/>
      <x:c r="H41" s="235"/>
      <x:c r="I41" s="235"/>
      <x:c r="J41" s="235"/>
      <x:c r="K41" s="235"/>
      <x:c r="L41" s="235"/>
      <x:c r="M41" s="235"/>
      <x:c r="N41" s="235"/>
      <x:c r="O41" s="235"/>
      <x:c r="P41" s="235"/>
      <x:c r="Q41" s="235"/>
    </x:row>
    <x:row r="42">
      <x:c r="A42" s="235"/>
      <x:c r="B42" s="235"/>
      <x:c r="C42" s="235"/>
      <x:c r="D42" s="235"/>
      <x:c r="E42" s="235"/>
      <x:c r="F42" s="235"/>
      <x:c r="G42" s="235"/>
      <x:c r="H42" s="235"/>
      <x:c r="I42" s="235"/>
      <x:c r="J42" s="235"/>
      <x:c r="K42" s="235"/>
      <x:c r="L42" s="235"/>
      <x:c r="M42" s="235"/>
      <x:c r="N42" s="235"/>
      <x:c r="O42" s="235"/>
      <x:c r="P42" s="235"/>
      <x:c r="Q42" s="235"/>
    </x:row>
    <x:row r="43">
      <x:c r="A43" s="235"/>
      <x:c r="B43" s="235"/>
      <x:c r="C43" s="235"/>
      <x:c r="D43" s="235"/>
      <x:c r="E43" s="235"/>
      <x:c r="F43" s="235"/>
      <x:c r="G43" s="235"/>
      <x:c r="H43" s="235"/>
      <x:c r="I43" s="235"/>
      <x:c r="J43" s="235"/>
      <x:c r="K43" s="235"/>
      <x:c r="L43" s="235"/>
      <x:c r="M43" s="235"/>
      <x:c r="N43" s="235"/>
      <x:c r="O43" s="235"/>
      <x:c r="P43" s="235"/>
      <x:c r="Q43" s="235"/>
    </x:row>
    <x:row r="44">
      <x:c r="A44" s="235"/>
      <x:c r="B44" s="235"/>
      <x:c r="C44" s="235"/>
      <x:c r="D44" s="235"/>
      <x:c r="E44" s="235"/>
      <x:c r="F44" s="235"/>
      <x:c r="G44" s="235"/>
      <x:c r="H44" s="235"/>
      <x:c r="I44" s="235"/>
      <x:c r="J44" s="235"/>
      <x:c r="K44" s="235"/>
      <x:c r="L44" s="235"/>
      <x:c r="M44" s="235"/>
      <x:c r="N44" s="235"/>
      <x:c r="O44" s="235"/>
      <x:c r="P44" s="235"/>
      <x:c r="Q44" s="235"/>
    </x:row>
    <x:row r="45">
      <x:c r="A45" s="235"/>
      <x:c r="B45" s="235"/>
      <x:c r="C45" s="235"/>
      <x:c r="D45" s="235"/>
      <x:c r="E45" s="235"/>
      <x:c r="F45" s="235"/>
      <x:c r="G45" s="235"/>
      <x:c r="H45" s="235"/>
      <x:c r="I45" s="235"/>
      <x:c r="J45" s="235"/>
      <x:c r="K45" s="235"/>
      <x:c r="L45" s="235"/>
      <x:c r="M45" s="235"/>
      <x:c r="N45" s="235"/>
      <x:c r="O45" s="235"/>
      <x:c r="P45" s="235"/>
      <x:c r="Q45" s="235"/>
    </x:row>
    <x:row r="46">
      <x:c r="A46" s="235"/>
      <x:c r="B46" s="235"/>
      <x:c r="C46" s="235"/>
      <x:c r="D46" s="235"/>
      <x:c r="E46" s="235"/>
      <x:c r="F46" s="235"/>
      <x:c r="G46" s="235"/>
      <x:c r="H46" s="235"/>
      <x:c r="I46" s="235"/>
      <x:c r="J46" s="235"/>
      <x:c r="K46" s="235"/>
      <x:c r="L46" s="235"/>
      <x:c r="M46" s="235"/>
      <x:c r="N46" s="235"/>
      <x:c r="O46" s="235"/>
      <x:c r="P46" s="235"/>
      <x:c r="Q46" s="235"/>
    </x:row>
    <x:row r="47">
      <x:c r="A47" s="235"/>
      <x:c r="B47" s="235"/>
      <x:c r="C47" s="235"/>
      <x:c r="D47" s="235"/>
      <x:c r="E47" s="235"/>
      <x:c r="F47" s="235"/>
      <x:c r="G47" s="235"/>
      <x:c r="H47" s="235"/>
      <x:c r="I47" s="235"/>
      <x:c r="J47" s="235"/>
      <x:c r="K47" s="235"/>
      <x:c r="L47" s="235"/>
      <x:c r="M47" s="235"/>
      <x:c r="N47" s="235"/>
      <x:c r="O47" s="235"/>
      <x:c r="P47" s="235"/>
      <x:c r="Q47" s="235"/>
    </x:row>
    <x:row r="48">
      <x:c r="A48" s="235"/>
      <x:c r="B48" s="235"/>
      <x:c r="C48" s="235"/>
      <x:c r="D48" s="235"/>
      <x:c r="E48" s="235"/>
      <x:c r="F48" s="235"/>
      <x:c r="G48" s="235"/>
      <x:c r="H48" s="235"/>
      <x:c r="I48" s="235"/>
      <x:c r="J48" s="235"/>
      <x:c r="K48" s="235"/>
      <x:c r="L48" s="235"/>
      <x:c r="M48" s="235"/>
      <x:c r="N48" s="235"/>
      <x:c r="O48" s="235"/>
      <x:c r="P48" s="235"/>
      <x:c r="Q48" s="235"/>
    </x:row>
    <x:row r="49">
      <x:c r="A49" s="235"/>
      <x:c r="B49" s="235"/>
      <x:c r="C49" s="235"/>
      <x:c r="D49" s="235"/>
      <x:c r="E49" s="235"/>
      <x:c r="F49" s="235"/>
      <x:c r="G49" s="235"/>
      <x:c r="H49" s="235"/>
      <x:c r="I49" s="235"/>
      <x:c r="J49" s="235"/>
      <x:c r="K49" s="235"/>
      <x:c r="L49" s="235"/>
      <x:c r="M49" s="235"/>
      <x:c r="N49" s="235"/>
      <x:c r="O49" s="235"/>
      <x:c r="P49" s="235"/>
      <x:c r="Q49" s="235"/>
    </x:row>
    <x:row r="50">
      <x:c r="A50" s="235"/>
      <x:c r="B50" s="235"/>
      <x:c r="C50" s="235"/>
      <x:c r="D50" s="235"/>
      <x:c r="E50" s="235"/>
      <x:c r="F50" s="235"/>
      <x:c r="G50" s="235"/>
      <x:c r="H50" s="235"/>
      <x:c r="I50" s="235"/>
      <x:c r="J50" s="235"/>
      <x:c r="K50" s="235"/>
      <x:c r="L50" s="235"/>
      <x:c r="M50" s="235"/>
      <x:c r="N50" s="235"/>
      <x:c r="O50" s="235"/>
      <x:c r="P50" s="235"/>
      <x:c r="Q50" s="235"/>
    </x:row>
    <x:row r="51">
      <x:c r="A51" s="235"/>
      <x:c r="B51" s="235"/>
      <x:c r="C51" s="235"/>
      <x:c r="D51" s="235"/>
      <x:c r="E51" s="235"/>
      <x:c r="F51" s="235"/>
      <x:c r="G51" s="235"/>
      <x:c r="H51" s="235"/>
      <x:c r="I51" s="235"/>
      <x:c r="J51" s="235"/>
      <x:c r="K51" s="235"/>
      <x:c r="L51" s="235"/>
      <x:c r="M51" s="235"/>
      <x:c r="N51" s="235"/>
      <x:c r="O51" s="235"/>
      <x:c r="P51" s="235"/>
      <x:c r="Q51" s="235"/>
    </x:row>
    <x:row r="52">
      <x:c r="A52" s="235"/>
      <x:c r="B52" s="235"/>
      <x:c r="C52" s="235"/>
      <x:c r="D52" s="235"/>
      <x:c r="E52" s="235"/>
      <x:c r="F52" s="235"/>
      <x:c r="G52" s="235"/>
      <x:c r="H52" s="235"/>
      <x:c r="I52" s="235"/>
      <x:c r="J52" s="235"/>
      <x:c r="K52" s="235"/>
      <x:c r="L52" s="235"/>
      <x:c r="M52" s="235"/>
      <x:c r="N52" s="235"/>
      <x:c r="O52" s="235"/>
      <x:c r="P52" s="235"/>
      <x:c r="Q52" s="235"/>
    </x:row>
    <x:row r="53">
      <x:c r="A53" s="235"/>
      <x:c r="B53" s="235"/>
      <x:c r="C53" s="235"/>
      <x:c r="D53" s="235"/>
      <x:c r="E53" s="235"/>
      <x:c r="F53" s="235"/>
      <x:c r="G53" s="235"/>
      <x:c r="H53" s="235"/>
      <x:c r="I53" s="235"/>
      <x:c r="J53" s="235"/>
      <x:c r="K53" s="235"/>
      <x:c r="L53" s="235"/>
      <x:c r="M53" s="235"/>
      <x:c r="N53" s="235"/>
      <x:c r="O53" s="235"/>
      <x:c r="P53" s="235"/>
      <x:c r="Q53" s="235"/>
    </x:row>
    <x:row r="54">
      <x:c r="A54" s="235"/>
      <x:c r="B54" s="235"/>
      <x:c r="C54" s="235"/>
      <x:c r="D54" s="235"/>
      <x:c r="E54" s="235"/>
      <x:c r="F54" s="235"/>
      <x:c r="G54" s="235"/>
      <x:c r="H54" s="235"/>
      <x:c r="I54" s="235"/>
      <x:c r="J54" s="235"/>
      <x:c r="K54" s="235"/>
      <x:c r="L54" s="235"/>
      <x:c r="M54" s="235"/>
      <x:c r="N54" s="235"/>
      <x:c r="O54" s="235"/>
      <x:c r="P54" s="235"/>
      <x:c r="Q54" s="235"/>
    </x:row>
    <x:row r="55">
      <x:c r="A55" s="235"/>
      <x:c r="B55" s="235"/>
      <x:c r="C55" s="235"/>
      <x:c r="D55" s="235"/>
      <x:c r="E55" s="235"/>
      <x:c r="F55" s="235"/>
      <x:c r="G55" s="235"/>
      <x:c r="H55" s="235"/>
      <x:c r="I55" s="235"/>
      <x:c r="J55" s="235"/>
      <x:c r="K55" s="235"/>
      <x:c r="L55" s="235"/>
      <x:c r="M55" s="235"/>
      <x:c r="N55" s="235"/>
      <x:c r="O55" s="235"/>
      <x:c r="P55" s="235"/>
      <x:c r="Q55" s="235"/>
    </x:row>
    <x:row r="56">
      <x:c r="A56" s="235"/>
      <x:c r="B56" s="235"/>
      <x:c r="C56" s="235"/>
      <x:c r="D56" s="235"/>
      <x:c r="E56" s="235"/>
      <x:c r="F56" s="235"/>
      <x:c r="G56" s="235"/>
      <x:c r="H56" s="235"/>
      <x:c r="I56" s="235"/>
      <x:c r="J56" s="235"/>
      <x:c r="K56" s="235"/>
      <x:c r="L56" s="235"/>
      <x:c r="M56" s="235"/>
      <x:c r="N56" s="235"/>
      <x:c r="O56" s="235"/>
      <x:c r="P56" s="235"/>
      <x:c r="Q56" s="235"/>
    </x:row>
    <x:row r="57">
      <x:c r="A57" s="235"/>
      <x:c r="B57" s="235"/>
      <x:c r="C57" s="235"/>
      <x:c r="D57" s="235"/>
      <x:c r="E57" s="235"/>
      <x:c r="F57" s="235"/>
      <x:c r="G57" s="235"/>
      <x:c r="H57" s="235"/>
      <x:c r="I57" s="235"/>
      <x:c r="J57" s="235"/>
      <x:c r="K57" s="235"/>
      <x:c r="L57" s="235"/>
      <x:c r="M57" s="235"/>
      <x:c r="N57" s="235"/>
      <x:c r="O57" s="235"/>
      <x:c r="P57" s="235"/>
      <x:c r="Q57" s="235"/>
    </x:row>
    <x:row r="58">
      <x:c r="A58" s="235"/>
      <x:c r="B58" s="235"/>
      <x:c r="C58" s="235"/>
      <x:c r="D58" s="235"/>
      <x:c r="E58" s="235"/>
      <x:c r="F58" s="235"/>
      <x:c r="G58" s="235"/>
      <x:c r="H58" s="235"/>
      <x:c r="I58" s="235"/>
      <x:c r="J58" s="235"/>
      <x:c r="K58" s="235"/>
      <x:c r="L58" s="235"/>
      <x:c r="M58" s="235"/>
      <x:c r="N58" s="235"/>
      <x:c r="O58" s="235"/>
      <x:c r="P58" s="235"/>
      <x:c r="Q58" s="235"/>
    </x:row>
    <x:row r="59">
      <x:c r="A59" s="235"/>
      <x:c r="B59" s="235"/>
      <x:c r="C59" s="235"/>
      <x:c r="D59" s="235"/>
      <x:c r="E59" s="235"/>
      <x:c r="F59" s="235"/>
      <x:c r="G59" s="235"/>
      <x:c r="H59" s="235"/>
      <x:c r="I59" s="235"/>
      <x:c r="J59" s="235"/>
      <x:c r="K59" s="235"/>
      <x:c r="L59" s="235"/>
      <x:c r="M59" s="235"/>
      <x:c r="N59" s="235"/>
      <x:c r="O59" s="235"/>
      <x:c r="P59" s="235"/>
      <x:c r="Q59" s="235"/>
    </x:row>
    <x:row r="60">
      <x:c r="A60" s="235"/>
      <x:c r="B60" s="235"/>
      <x:c r="C60" s="235"/>
      <x:c r="D60" s="235"/>
      <x:c r="E60" s="235"/>
      <x:c r="F60" s="235"/>
      <x:c r="G60" s="235"/>
      <x:c r="H60" s="235"/>
      <x:c r="I60" s="235"/>
      <x:c r="J60" s="235"/>
      <x:c r="K60" s="235"/>
      <x:c r="L60" s="235"/>
      <x:c r="M60" s="235"/>
      <x:c r="N60" s="235"/>
      <x:c r="O60" s="235"/>
      <x:c r="P60" s="235"/>
      <x:c r="Q60" s="235"/>
    </x:row>
  </x:sheetData>
  <x:mergeCells>
    <x:mergeCell ref="A1:H1"/>
    <x:mergeCell ref="A2:H2"/>
    <x:mergeCell ref="A4:H4"/>
    <x:mergeCell ref="A16:H19"/>
    <x:mergeCell ref="A22:H22"/>
  </x:mergeCells>
  <x:conditionalFormatting sqref="D24:D31">
    <x:cfRule type="cellIs" dxfId="5" priority="1" operator="equal">
      <x:formula>"FAIL"</x:formula>
    </x:cfRule>
    <x:cfRule type="cellIs" dxfId="6" priority="2" operator="equal">
      <x:formula>"OK"</x:formula>
    </x:cfRule>
  </x:conditionalFormatting>
  <x:pageMargins left="0.7" right="0.7" top="0.75" bottom="0.75" header="0.3" footer="0.3"/>
</x:worksheet>
</file>